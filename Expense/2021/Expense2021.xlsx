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rissoftware-my.sharepoint.com/personal/rupali_bhore_iris_co_uk/Documents/Desktop/PS/Expense/2021/"/>
    </mc:Choice>
  </mc:AlternateContent>
  <xr:revisionPtr revIDLastSave="1" documentId="11_8984E0A97A4B96F7FB1D3EA0638A05552E6E1CC4" xr6:coauthVersionLast="47" xr6:coauthVersionMax="47" xr10:uidLastSave="{50331EF9-E4CA-4BF6-9DE9-B490E5048C0F}"/>
  <bookViews>
    <workbookView xWindow="-120" yWindow="-120" windowWidth="29040" windowHeight="15840" activeTab="5" xr2:uid="{00000000-000D-0000-FFFF-FFFF00000000}"/>
  </bookViews>
  <sheets>
    <sheet name="Jan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" sheetId="9" r:id="rId9"/>
    <sheet name="Oct" sheetId="10" r:id="rId10"/>
    <sheet name="Nov" sheetId="11" r:id="rId11"/>
    <sheet name="De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2" l="1"/>
  <c r="J32" i="12"/>
  <c r="G32" i="12"/>
  <c r="H32" i="12"/>
  <c r="F8" i="12" l="1"/>
  <c r="F32" i="12" s="1"/>
  <c r="K32" i="12" s="1"/>
  <c r="F30" i="11" l="1"/>
  <c r="G30" i="11"/>
  <c r="H30" i="11"/>
  <c r="I30" i="11"/>
  <c r="E25" i="11" l="1"/>
  <c r="E17" i="11" l="1"/>
  <c r="E30" i="11" s="1"/>
  <c r="J30" i="11" s="1"/>
  <c r="D26" i="8" l="1"/>
  <c r="G31" i="10"/>
  <c r="H31" i="10"/>
  <c r="I31" i="10"/>
  <c r="E15" i="10" l="1"/>
  <c r="E31" i="10" s="1"/>
  <c r="F10" i="10" l="1"/>
  <c r="F31" i="10" s="1"/>
  <c r="J31" i="10" s="1"/>
  <c r="H32" i="9" l="1"/>
  <c r="F32" i="9"/>
  <c r="G32" i="9"/>
  <c r="E25" i="9"/>
  <c r="E7" i="9" l="1"/>
  <c r="E32" i="9" s="1"/>
  <c r="I32" i="9" s="1"/>
  <c r="E32" i="8"/>
  <c r="F32" i="8"/>
  <c r="G32" i="8"/>
  <c r="H32" i="8"/>
  <c r="D21" i="8"/>
  <c r="E8" i="8"/>
  <c r="D12" i="8"/>
  <c r="D25" i="8"/>
  <c r="D11" i="8"/>
  <c r="D10" i="8"/>
  <c r="P15" i="8"/>
  <c r="D9" i="8"/>
  <c r="D5" i="8"/>
  <c r="D32" i="8" s="1"/>
  <c r="D25" i="7"/>
  <c r="E30" i="7"/>
  <c r="F30" i="7"/>
  <c r="G30" i="7"/>
  <c r="H30" i="7"/>
  <c r="I32" i="8" l="1"/>
  <c r="D21" i="7"/>
  <c r="D20" i="7"/>
  <c r="D6" i="7"/>
  <c r="D18" i="7" l="1"/>
  <c r="D14" i="7" l="1"/>
  <c r="E30" i="6" l="1"/>
  <c r="F30" i="6"/>
  <c r="G30" i="6"/>
  <c r="H30" i="6"/>
  <c r="D9" i="7"/>
  <c r="D30" i="7" s="1"/>
  <c r="I30" i="7" s="1"/>
  <c r="D15" i="6" l="1"/>
  <c r="D30" i="6" s="1"/>
  <c r="I30" i="6" s="1"/>
  <c r="F32" i="5" l="1"/>
  <c r="G32" i="5"/>
  <c r="H32" i="5"/>
  <c r="I32" i="5"/>
  <c r="E32" i="5"/>
  <c r="K32" i="5" l="1"/>
  <c r="I30" i="4"/>
  <c r="F30" i="4"/>
  <c r="G30" i="4"/>
  <c r="H30" i="4"/>
  <c r="E30" i="4"/>
  <c r="J30" i="4" l="1"/>
  <c r="F30" i="3"/>
  <c r="G30" i="3"/>
  <c r="H30" i="3"/>
  <c r="I30" i="3"/>
  <c r="E30" i="3" l="1"/>
  <c r="J30" i="3" s="1"/>
  <c r="F30" i="2" l="1"/>
  <c r="G30" i="2"/>
  <c r="H30" i="2"/>
  <c r="I30" i="2"/>
  <c r="E30" i="2"/>
  <c r="J30" i="2" l="1"/>
  <c r="F32" i="1"/>
  <c r="G32" i="1"/>
  <c r="H32" i="1"/>
  <c r="I32" i="1"/>
  <c r="E32" i="1"/>
  <c r="J32" i="1" l="1"/>
</calcChain>
</file>

<file path=xl/sharedStrings.xml><?xml version="1.0" encoding="utf-8"?>
<sst xmlns="http://schemas.openxmlformats.org/spreadsheetml/2006/main" count="523" uniqueCount="321">
  <si>
    <t>Akash: 6K remaining</t>
  </si>
  <si>
    <t>I have to give him</t>
  </si>
  <si>
    <t xml:space="preserve"> remainning balance: 1</t>
  </si>
  <si>
    <t>Mohini's remaining balance:</t>
  </si>
  <si>
    <t>Akshay : 50K</t>
  </si>
  <si>
    <t>recharge/bill</t>
  </si>
  <si>
    <t>shopping/outing</t>
  </si>
  <si>
    <t>petrol</t>
  </si>
  <si>
    <t>Food/glosarry</t>
  </si>
  <si>
    <t>other</t>
  </si>
  <si>
    <t>aai</t>
  </si>
  <si>
    <t>urban clap</t>
  </si>
  <si>
    <t>gold</t>
  </si>
  <si>
    <t>momos</t>
  </si>
  <si>
    <t>yogi</t>
  </si>
  <si>
    <t>ras malai</t>
  </si>
  <si>
    <t>bhakarwadi</t>
  </si>
  <si>
    <t>cake</t>
  </si>
  <si>
    <t>LIC</t>
  </si>
  <si>
    <t>Ashu's wedding gift</t>
  </si>
  <si>
    <t>yogi's  tests</t>
  </si>
  <si>
    <t>vada sambar and sandwitch</t>
  </si>
  <si>
    <t>mobile</t>
  </si>
  <si>
    <t>vada paw</t>
  </si>
  <si>
    <t>oranges</t>
  </si>
  <si>
    <t>Rekha</t>
  </si>
  <si>
    <t>Tiffin box</t>
  </si>
  <si>
    <t>Ubraj tickets</t>
  </si>
  <si>
    <t>cut dosa+medu wada sambar</t>
  </si>
  <si>
    <t>revenu stamp</t>
  </si>
  <si>
    <t>shahala</t>
  </si>
  <si>
    <t>Yogi</t>
  </si>
  <si>
    <t>jio</t>
  </si>
  <si>
    <t>Aman cake contry</t>
  </si>
  <si>
    <t>cup/earings/soxs</t>
  </si>
  <si>
    <t>Me</t>
  </si>
  <si>
    <t>Mom</t>
  </si>
  <si>
    <t>150K</t>
  </si>
  <si>
    <t>triball/tampon</t>
  </si>
  <si>
    <t>yogi-jogger</t>
  </si>
  <si>
    <t>138K</t>
  </si>
  <si>
    <t>pestry</t>
  </si>
  <si>
    <t>aai kadcha khau</t>
  </si>
  <si>
    <t>apeksha</t>
  </si>
  <si>
    <t>shiva</t>
  </si>
  <si>
    <t>Appe patra</t>
  </si>
  <si>
    <t>Mobile</t>
  </si>
  <si>
    <t>Akash's wedding</t>
  </si>
  <si>
    <t>RD</t>
  </si>
  <si>
    <t>bike servicing</t>
  </si>
  <si>
    <t>panipuri with bhakti</t>
  </si>
  <si>
    <t>Sangita mavshi</t>
  </si>
  <si>
    <t>waxing</t>
  </si>
  <si>
    <t>mama:</t>
  </si>
  <si>
    <t>Akshay : 25K</t>
  </si>
  <si>
    <t>123K</t>
  </si>
  <si>
    <t>mama</t>
  </si>
  <si>
    <t>Dr appointment</t>
  </si>
  <si>
    <t>riksha</t>
  </si>
  <si>
    <t>urban clap-pappa</t>
  </si>
  <si>
    <t>khau</t>
  </si>
  <si>
    <t>wifi</t>
  </si>
  <si>
    <t>glossary</t>
  </si>
  <si>
    <t>dryfruits</t>
  </si>
  <si>
    <t>chess board</t>
  </si>
  <si>
    <t>swim suit</t>
  </si>
  <si>
    <t>baner</t>
  </si>
  <si>
    <t>Kashyachi wati</t>
  </si>
  <si>
    <t>naralpani</t>
  </si>
  <si>
    <t>bhajya</t>
  </si>
  <si>
    <t>misal</t>
  </si>
  <si>
    <t>myntra</t>
  </si>
  <si>
    <t>bhel+chocolates</t>
  </si>
  <si>
    <t>cleanup</t>
  </si>
  <si>
    <t>appucha khau</t>
  </si>
  <si>
    <t>mastani</t>
  </si>
  <si>
    <t>Sangeeta mavshi</t>
  </si>
  <si>
    <t>bhaji+Salad+fruits</t>
  </si>
  <si>
    <t xml:space="preserve">cake to Teju tai </t>
  </si>
  <si>
    <t>Rekha mam deitician</t>
  </si>
  <si>
    <t>bhjya+fruits</t>
  </si>
  <si>
    <t>Bluetooth earbud</t>
  </si>
  <si>
    <t>Bhaji+</t>
  </si>
  <si>
    <t>paneer+Tup+Fruits</t>
  </si>
  <si>
    <t>Amazon dress Appu+Me+Tai</t>
  </si>
  <si>
    <t>Akash</t>
  </si>
  <si>
    <t>kachori</t>
  </si>
  <si>
    <t>bhaji</t>
  </si>
  <si>
    <t>Pizza</t>
  </si>
  <si>
    <t>Momos</t>
  </si>
  <si>
    <t>pain releif spray</t>
  </si>
  <si>
    <t>bhaji-fala</t>
  </si>
  <si>
    <t>flower bouquet</t>
  </si>
  <si>
    <t>biscuits, sambar masala</t>
  </si>
  <si>
    <t>razor, tissues, shatawari,facewash</t>
  </si>
  <si>
    <t>gold bhishi</t>
  </si>
  <si>
    <t>fan repair</t>
  </si>
  <si>
    <t>burger</t>
  </si>
  <si>
    <t>paper bill</t>
  </si>
  <si>
    <t>Yogesh</t>
  </si>
  <si>
    <t>Fruits+Cake+khari+Bhaji+Wadapaw+Naral</t>
  </si>
  <si>
    <t>Massage+Waxing_cleanup</t>
  </si>
  <si>
    <t>Yogesh's cleanup</t>
  </si>
  <si>
    <t>Mavshi</t>
  </si>
  <si>
    <t>Kurta set and top</t>
  </si>
  <si>
    <t>Apeksha's baby shower</t>
  </si>
  <si>
    <t xml:space="preserve">burger for yogesh </t>
  </si>
  <si>
    <t>veggies and fruits</t>
  </si>
  <si>
    <t>uber from mohini didi</t>
  </si>
  <si>
    <t>grossary</t>
  </si>
  <si>
    <t>Neera+sarbat at mastani lake</t>
  </si>
  <si>
    <t>sofa cleaning from urban clap</t>
  </si>
  <si>
    <t>Yogesh shirt</t>
  </si>
  <si>
    <t>Gawawrun Tup</t>
  </si>
  <si>
    <t>biryani and momos</t>
  </si>
  <si>
    <t>Gym</t>
  </si>
  <si>
    <t>inners and track pant</t>
  </si>
  <si>
    <t>kurta set and top</t>
  </si>
  <si>
    <t>bottles/kettely/panties/ice tray</t>
  </si>
  <si>
    <t>Anniversary gift to Yogi</t>
  </si>
  <si>
    <t>finger cakes and cream roll</t>
  </si>
  <si>
    <t>Gym set</t>
  </si>
  <si>
    <t>get together at ajinkya's place</t>
  </si>
  <si>
    <t xml:space="preserve">waxing </t>
  </si>
  <si>
    <t>shahala+katri+kanatle+gift wrap</t>
  </si>
  <si>
    <t>bhaji+paneer+apples</t>
  </si>
  <si>
    <t>78K</t>
  </si>
  <si>
    <t>Pune to Lohara tickets me and yogi</t>
  </si>
  <si>
    <t>Mithai</t>
  </si>
  <si>
    <t>aai-papa:5K</t>
  </si>
  <si>
    <t>Annivarsary</t>
  </si>
  <si>
    <t>Kunal: Stamp duty and reg</t>
  </si>
  <si>
    <t>3L</t>
  </si>
  <si>
    <t>bhaji+fala</t>
  </si>
  <si>
    <t>masks</t>
  </si>
  <si>
    <t>mobile cover</t>
  </si>
  <si>
    <t>haircut</t>
  </si>
  <si>
    <t>Samyacha lagna contry</t>
  </si>
  <si>
    <t>lonawla</t>
  </si>
  <si>
    <t>Lonawla</t>
  </si>
  <si>
    <t>Lunch</t>
  </si>
  <si>
    <t>bhutta+Maggi</t>
  </si>
  <si>
    <t>chaha+Coffee</t>
  </si>
  <si>
    <t>food</t>
  </si>
  <si>
    <t>Petrol:Vaibhav</t>
  </si>
  <si>
    <t>Tol</t>
  </si>
  <si>
    <t xml:space="preserve">Chikki </t>
  </si>
  <si>
    <t>Got from</t>
  </si>
  <si>
    <t>3BHK</t>
  </si>
  <si>
    <t>Given</t>
  </si>
  <si>
    <t>Dhoti for pooja</t>
  </si>
  <si>
    <t>Cybage trip ola</t>
  </si>
  <si>
    <t>Stamp duty registration charges</t>
  </si>
  <si>
    <t>Yogi to clear mohini di's debt</t>
  </si>
  <si>
    <t>water bottle</t>
  </si>
  <si>
    <t>Laptop repair</t>
  </si>
  <si>
    <t>Amazon</t>
  </si>
  <si>
    <t>chappal</t>
  </si>
  <si>
    <t>powerbank+nakelase for pooja</t>
  </si>
  <si>
    <t>Rakhi gift for akash</t>
  </si>
  <si>
    <t>Sleeper trackpant for birthday: yogi</t>
  </si>
  <si>
    <t>Sweatshirt for yogi: Bday gift</t>
  </si>
  <si>
    <t>Blouse for pooja</t>
  </si>
  <si>
    <t>waxing and facial</t>
  </si>
  <si>
    <t xml:space="preserve">alu paratha +water bottle </t>
  </si>
  <si>
    <t>PNG pendent</t>
  </si>
  <si>
    <t>Mithai and celebration packets for rakhi</t>
  </si>
  <si>
    <t>Mithai for rakhi: Akash</t>
  </si>
  <si>
    <t>Misal</t>
  </si>
  <si>
    <t>grossary: 2Kg dal+Knor+biscuits</t>
  </si>
  <si>
    <t>mummy: 10K</t>
  </si>
  <si>
    <t xml:space="preserve">Akshay </t>
  </si>
  <si>
    <t>25K</t>
  </si>
  <si>
    <t>Pooja: 1bhk Aaher</t>
  </si>
  <si>
    <t>Deposit</t>
  </si>
  <si>
    <t>15K</t>
  </si>
  <si>
    <t>chocolates+medicines+Pastry</t>
  </si>
  <si>
    <t>manglesutra</t>
  </si>
  <si>
    <t>batata</t>
  </si>
  <si>
    <t>gift wrap</t>
  </si>
  <si>
    <t>pasha</t>
  </si>
  <si>
    <t>Mac D</t>
  </si>
  <si>
    <t>fruits</t>
  </si>
  <si>
    <t>prasad for ganpati</t>
  </si>
  <si>
    <t>shampu</t>
  </si>
  <si>
    <t>passportsize photos</t>
  </si>
  <si>
    <t>biscuits for cup cakes</t>
  </si>
  <si>
    <t>masala ots</t>
  </si>
  <si>
    <t>dudh</t>
  </si>
  <si>
    <t>pastry for yogi</t>
  </si>
  <si>
    <t>udemy corse</t>
  </si>
  <si>
    <t>Cake for ajinkya</t>
  </si>
  <si>
    <t>katakirr</t>
  </si>
  <si>
    <t>Anishka bday gift:1K</t>
  </si>
  <si>
    <t>ice cream 3cups</t>
  </si>
  <si>
    <t>finger cake</t>
  </si>
  <si>
    <t>pattice(cybage)</t>
  </si>
  <si>
    <t>waxing and cleanup</t>
  </si>
  <si>
    <t>udemy subscription</t>
  </si>
  <si>
    <t>sumit's wedding gift</t>
  </si>
  <si>
    <t>Ayansh's gift: gold loket</t>
  </si>
  <si>
    <t>gurujinchi dakshina</t>
  </si>
  <si>
    <t>book of guru gopal das</t>
  </si>
  <si>
    <t>gul khobara for ladu</t>
  </si>
  <si>
    <t>poli bhaji order for dinner</t>
  </si>
  <si>
    <t>bhaji+fala+tissues+facewash</t>
  </si>
  <si>
    <t>sandwitch and masala puri</t>
  </si>
  <si>
    <t>fingercake+orio+cadbery</t>
  </si>
  <si>
    <t>lunch at 360 degree</t>
  </si>
  <si>
    <t>emtec frnds</t>
  </si>
  <si>
    <t>burger for yogi</t>
  </si>
  <si>
    <t>bhaji+khava+dudh</t>
  </si>
  <si>
    <t>white kettle</t>
  </si>
  <si>
    <t>pappu dada: 20K</t>
  </si>
  <si>
    <t>mutual fund</t>
  </si>
  <si>
    <t>sangita mavshi: 1500</t>
  </si>
  <si>
    <t>hoodie</t>
  </si>
  <si>
    <t>eggs+milk+fruits+veggies</t>
  </si>
  <si>
    <t>udemy</t>
  </si>
  <si>
    <t>tapola trip</t>
  </si>
  <si>
    <t>unposted letter for jiju</t>
  </si>
  <si>
    <t>icici very payee</t>
  </si>
  <si>
    <t>men's facial</t>
  </si>
  <si>
    <t>bhel+vadapav+waffers+suraliwadi+barfi</t>
  </si>
  <si>
    <t>lipsticks for me and mona</t>
  </si>
  <si>
    <t>yogi's bike servicing</t>
  </si>
  <si>
    <t>lended to yogi while goinig khandala</t>
  </si>
  <si>
    <t>rent from tenent</t>
  </si>
  <si>
    <t>10K</t>
  </si>
  <si>
    <t>bhaji+kande</t>
  </si>
  <si>
    <t>yogi's diwali shopping</t>
  </si>
  <si>
    <t>papai</t>
  </si>
  <si>
    <t>aai la sadi</t>
  </si>
  <si>
    <t>ice cream and butter</t>
  </si>
  <si>
    <t>lunch with Vitains</t>
  </si>
  <si>
    <t>daliya</t>
  </si>
  <si>
    <t>bhaji papai and rajgira ladu</t>
  </si>
  <si>
    <t>keli</t>
  </si>
  <si>
    <t>bhaubij gift</t>
  </si>
  <si>
    <t xml:space="preserve">IMPS verification payee for skyi </t>
  </si>
  <si>
    <t>dal bati</t>
  </si>
  <si>
    <t>Own contribution for flat</t>
  </si>
  <si>
    <t>stamp duty registration charges</t>
  </si>
  <si>
    <t>aai sadi</t>
  </si>
  <si>
    <t>deposit from new tenet: 21K</t>
  </si>
  <si>
    <t>blouse stiching charges</t>
  </si>
  <si>
    <t xml:space="preserve">rangoli for diwali </t>
  </si>
  <si>
    <t>own contri for flat</t>
  </si>
  <si>
    <t>fruits for lahu daji and choudhary dadaji</t>
  </si>
  <si>
    <t>pizza base</t>
  </si>
  <si>
    <t>masala puri</t>
  </si>
  <si>
    <t>sandwitch</t>
  </si>
  <si>
    <t>pastery</t>
  </si>
  <si>
    <t>(with anu anishka)</t>
  </si>
  <si>
    <t>chips</t>
  </si>
  <si>
    <t>drinks</t>
  </si>
  <si>
    <t>purvaja</t>
  </si>
  <si>
    <t>and pran party</t>
  </si>
  <si>
    <t>gym</t>
  </si>
  <si>
    <t>ani's contri</t>
  </si>
  <si>
    <t>ola from baner to suskhsagar</t>
  </si>
  <si>
    <t>natak suraj</t>
  </si>
  <si>
    <t>chaha wadapav</t>
  </si>
  <si>
    <t>radio</t>
  </si>
  <si>
    <t>uber from sukhsagar to nigdi</t>
  </si>
  <si>
    <t>First bank dis</t>
  </si>
  <si>
    <t>movie zimma</t>
  </si>
  <si>
    <t>chopper</t>
  </si>
  <si>
    <t>shoksabha</t>
  </si>
  <si>
    <t>uber from nigdi to sukhsagar</t>
  </si>
  <si>
    <t>shahala toothbrush suran and mask</t>
  </si>
  <si>
    <t>gym wear</t>
  </si>
  <si>
    <t>bhaji ani fala</t>
  </si>
  <si>
    <t>32K</t>
  </si>
  <si>
    <t>refund ITR</t>
  </si>
  <si>
    <t>rent</t>
  </si>
  <si>
    <t>salad+paneer</t>
  </si>
  <si>
    <t>loan processing fee</t>
  </si>
  <si>
    <t>amazon prime</t>
  </si>
  <si>
    <t>kande and peru</t>
  </si>
  <si>
    <t>loan processing fees</t>
  </si>
  <si>
    <t>mummy's ring</t>
  </si>
  <si>
    <t>16K</t>
  </si>
  <si>
    <t>dhanashri's farewell contri</t>
  </si>
  <si>
    <t>bhel</t>
  </si>
  <si>
    <t>vadapav</t>
  </si>
  <si>
    <t>pohe</t>
  </si>
  <si>
    <t>bhatgar dam</t>
  </si>
  <si>
    <t>40K</t>
  </si>
  <si>
    <t>Yogesh 3bhk hapta</t>
  </si>
  <si>
    <t>from FD</t>
  </si>
  <si>
    <t>PF</t>
  </si>
  <si>
    <t>FD</t>
  </si>
  <si>
    <t>FnF settlement</t>
  </si>
  <si>
    <t>93K</t>
  </si>
  <si>
    <t>Emtec</t>
  </si>
  <si>
    <t>cleared</t>
  </si>
  <si>
    <t>barfi</t>
  </si>
  <si>
    <t xml:space="preserve">Jiju </t>
  </si>
  <si>
    <t>50K</t>
  </si>
  <si>
    <t>naral</t>
  </si>
  <si>
    <t>paneer</t>
  </si>
  <si>
    <t>shahala for shanta aai</t>
  </si>
  <si>
    <t>straberry dalimb</t>
  </si>
  <si>
    <t>mop</t>
  </si>
  <si>
    <t>revenue tickets</t>
  </si>
  <si>
    <t>wifi recharge</t>
  </si>
  <si>
    <t>cybage visit</t>
  </si>
  <si>
    <t>jiju</t>
  </si>
  <si>
    <t>kanatle for kuhu</t>
  </si>
  <si>
    <t>purucha lagna ola</t>
  </si>
  <si>
    <t>aurangabad</t>
  </si>
  <si>
    <t>galyatla</t>
  </si>
  <si>
    <t>google</t>
  </si>
  <si>
    <t>party with emtec guys</t>
  </si>
  <si>
    <t>yogi and rupali</t>
  </si>
  <si>
    <t>toothbrush</t>
  </si>
  <si>
    <t>borrow</t>
  </si>
  <si>
    <t>Gave back</t>
  </si>
  <si>
    <t>Virender</t>
  </si>
  <si>
    <t>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</si>
</sst>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ont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eera+sarbat@%20mastani%20la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E10" sqref="E10"/>
    </sheetView>
  </sheetViews>
  <sheetFormatPr defaultRowHeight="15" x14ac:dyDescent="0.25"/>
  <cols>
    <col min="3" max="3" width="9" customWidth="1"/>
    <col min="4" max="4" width="11.42578125" customWidth="1"/>
  </cols>
  <sheetData>
    <row r="1" spans="1:16" x14ac:dyDescent="0.25">
      <c r="E1" t="s">
        <v>9</v>
      </c>
      <c r="F1" t="s">
        <v>8</v>
      </c>
      <c r="G1" t="s">
        <v>7</v>
      </c>
      <c r="H1" t="s">
        <v>6</v>
      </c>
      <c r="I1" t="s">
        <v>5</v>
      </c>
    </row>
    <row r="2" spans="1:16" x14ac:dyDescent="0.25">
      <c r="A2" t="s">
        <v>10</v>
      </c>
      <c r="E2">
        <v>2500</v>
      </c>
      <c r="M2" t="s">
        <v>0</v>
      </c>
    </row>
    <row r="3" spans="1:16" x14ac:dyDescent="0.25">
      <c r="A3" t="s">
        <v>11</v>
      </c>
      <c r="E3">
        <v>1118</v>
      </c>
      <c r="M3" t="s">
        <v>1</v>
      </c>
    </row>
    <row r="4" spans="1:16" x14ac:dyDescent="0.25">
      <c r="A4" t="s">
        <v>12</v>
      </c>
      <c r="E4">
        <v>7000</v>
      </c>
    </row>
    <row r="5" spans="1:16" x14ac:dyDescent="0.25">
      <c r="A5" t="s">
        <v>13</v>
      </c>
      <c r="B5" t="s">
        <v>15</v>
      </c>
      <c r="C5" t="s">
        <v>16</v>
      </c>
      <c r="D5" t="s">
        <v>17</v>
      </c>
      <c r="F5">
        <v>100</v>
      </c>
    </row>
    <row r="6" spans="1:16" x14ac:dyDescent="0.25">
      <c r="A6" t="s">
        <v>14</v>
      </c>
      <c r="E6">
        <v>15000</v>
      </c>
      <c r="F6">
        <v>526</v>
      </c>
      <c r="M6" t="s">
        <v>56</v>
      </c>
      <c r="O6" t="s">
        <v>2</v>
      </c>
    </row>
    <row r="7" spans="1:16" x14ac:dyDescent="0.25">
      <c r="A7" t="s">
        <v>18</v>
      </c>
      <c r="E7">
        <v>7200</v>
      </c>
      <c r="F7">
        <v>250</v>
      </c>
    </row>
    <row r="8" spans="1:16" x14ac:dyDescent="0.25">
      <c r="A8" t="s">
        <v>48</v>
      </c>
      <c r="E8">
        <v>5000</v>
      </c>
      <c r="G8">
        <v>200</v>
      </c>
    </row>
    <row r="9" spans="1:16" x14ac:dyDescent="0.25">
      <c r="A9" t="s">
        <v>19</v>
      </c>
      <c r="E9">
        <v>1000</v>
      </c>
      <c r="M9" t="s">
        <v>3</v>
      </c>
      <c r="P9" t="s">
        <v>37</v>
      </c>
    </row>
    <row r="10" spans="1:16" x14ac:dyDescent="0.25">
      <c r="A10" t="s">
        <v>20</v>
      </c>
      <c r="E10">
        <v>12800</v>
      </c>
      <c r="M10" t="s">
        <v>4</v>
      </c>
    </row>
    <row r="11" spans="1:16" x14ac:dyDescent="0.25">
      <c r="A11" t="s">
        <v>21</v>
      </c>
      <c r="F11">
        <v>120</v>
      </c>
    </row>
    <row r="12" spans="1:16" x14ac:dyDescent="0.25">
      <c r="A12" t="s">
        <v>23</v>
      </c>
      <c r="F12">
        <v>42</v>
      </c>
      <c r="I12">
        <v>149</v>
      </c>
    </row>
    <row r="13" spans="1:16" x14ac:dyDescent="0.25">
      <c r="A13" t="s">
        <v>22</v>
      </c>
      <c r="I13">
        <v>49</v>
      </c>
    </row>
    <row r="14" spans="1:16" x14ac:dyDescent="0.25">
      <c r="A14" t="s">
        <v>25</v>
      </c>
      <c r="F14">
        <v>200</v>
      </c>
      <c r="I14">
        <v>150</v>
      </c>
    </row>
    <row r="15" spans="1:16" x14ac:dyDescent="0.25">
      <c r="A15" t="s">
        <v>24</v>
      </c>
      <c r="F15">
        <v>50</v>
      </c>
      <c r="I15">
        <v>16</v>
      </c>
    </row>
    <row r="16" spans="1:16" x14ac:dyDescent="0.25">
      <c r="A16" t="s">
        <v>26</v>
      </c>
      <c r="E16">
        <v>600</v>
      </c>
    </row>
    <row r="24" spans="1:10" x14ac:dyDescent="0.25">
      <c r="A24" t="s">
        <v>27</v>
      </c>
      <c r="E24">
        <v>400</v>
      </c>
    </row>
    <row r="26" spans="1:10" x14ac:dyDescent="0.25">
      <c r="A26" t="s">
        <v>28</v>
      </c>
      <c r="F26">
        <v>180</v>
      </c>
    </row>
    <row r="27" spans="1:10" x14ac:dyDescent="0.25">
      <c r="F27">
        <v>60</v>
      </c>
    </row>
    <row r="28" spans="1:10" x14ac:dyDescent="0.25">
      <c r="A28" t="s">
        <v>29</v>
      </c>
      <c r="E28">
        <v>30</v>
      </c>
    </row>
    <row r="29" spans="1:10" x14ac:dyDescent="0.25">
      <c r="A29" t="s">
        <v>30</v>
      </c>
      <c r="E29">
        <v>45</v>
      </c>
    </row>
    <row r="32" spans="1:10" x14ac:dyDescent="0.25">
      <c r="E32">
        <f>SUM(E2:E31)</f>
        <v>52693</v>
      </c>
      <c r="F32">
        <f t="shared" ref="F32:I32" si="0">SUM(F2:F31)</f>
        <v>1528</v>
      </c>
      <c r="G32">
        <f t="shared" si="0"/>
        <v>200</v>
      </c>
      <c r="H32">
        <f t="shared" si="0"/>
        <v>0</v>
      </c>
      <c r="I32">
        <f t="shared" si="0"/>
        <v>364</v>
      </c>
      <c r="J32" s="1">
        <f>SUM(E32:I32)</f>
        <v>54785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workbookViewId="0">
      <selection activeCell="A5" sqref="A5:E5"/>
    </sheetView>
  </sheetViews>
  <sheetFormatPr defaultRowHeight="15" x14ac:dyDescent="0.25"/>
  <cols>
    <col min="1" max="1" width="11.140625" customWidth="1"/>
  </cols>
  <sheetData>
    <row r="1" spans="1:17" x14ac:dyDescent="0.25">
      <c r="E1" t="s">
        <v>9</v>
      </c>
      <c r="F1" t="s">
        <v>8</v>
      </c>
      <c r="G1" t="s">
        <v>7</v>
      </c>
      <c r="H1" t="s">
        <v>6</v>
      </c>
      <c r="I1" t="s">
        <v>5</v>
      </c>
    </row>
    <row r="2" spans="1:17" x14ac:dyDescent="0.25">
      <c r="A2" t="s">
        <v>10</v>
      </c>
      <c r="E2">
        <v>2500</v>
      </c>
      <c r="N2" t="s">
        <v>0</v>
      </c>
    </row>
    <row r="3" spans="1:17" x14ac:dyDescent="0.25">
      <c r="A3" t="s">
        <v>39</v>
      </c>
      <c r="E3">
        <v>999</v>
      </c>
      <c r="N3" t="s">
        <v>1</v>
      </c>
    </row>
    <row r="4" spans="1:17" x14ac:dyDescent="0.25">
      <c r="A4" t="s">
        <v>12</v>
      </c>
      <c r="E4">
        <v>7000</v>
      </c>
    </row>
    <row r="5" spans="1:17" x14ac:dyDescent="0.25">
      <c r="A5" t="s">
        <v>31</v>
      </c>
      <c r="E5">
        <v>15000</v>
      </c>
    </row>
    <row r="6" spans="1:17" x14ac:dyDescent="0.25">
      <c r="A6" t="s">
        <v>18</v>
      </c>
      <c r="E6">
        <v>7200</v>
      </c>
      <c r="N6" t="s">
        <v>56</v>
      </c>
      <c r="P6" t="s">
        <v>2</v>
      </c>
    </row>
    <row r="7" spans="1:17" x14ac:dyDescent="0.25">
      <c r="A7" t="s">
        <v>26</v>
      </c>
      <c r="G7">
        <v>230</v>
      </c>
      <c r="I7">
        <v>500</v>
      </c>
    </row>
    <row r="8" spans="1:17" x14ac:dyDescent="0.25">
      <c r="A8" t="s">
        <v>32</v>
      </c>
      <c r="I8">
        <v>149</v>
      </c>
    </row>
    <row r="9" spans="1:17" x14ac:dyDescent="0.25">
      <c r="A9" t="s">
        <v>33</v>
      </c>
      <c r="F9">
        <v>100</v>
      </c>
      <c r="I9">
        <v>49</v>
      </c>
      <c r="N9" t="s">
        <v>3</v>
      </c>
      <c r="Q9" t="s">
        <v>40</v>
      </c>
    </row>
    <row r="10" spans="1:17" x14ac:dyDescent="0.25">
      <c r="A10" t="s">
        <v>11</v>
      </c>
      <c r="B10" t="s">
        <v>35</v>
      </c>
      <c r="H10">
        <v>922</v>
      </c>
      <c r="N10" t="s">
        <v>4</v>
      </c>
    </row>
    <row r="11" spans="1:17" x14ac:dyDescent="0.25">
      <c r="B11" t="s">
        <v>36</v>
      </c>
      <c r="H11">
        <v>488</v>
      </c>
    </row>
    <row r="12" spans="1:17" x14ac:dyDescent="0.25">
      <c r="B12" t="s">
        <v>31</v>
      </c>
      <c r="H12">
        <v>588</v>
      </c>
    </row>
    <row r="13" spans="1:17" x14ac:dyDescent="0.25">
      <c r="A13" t="s">
        <v>48</v>
      </c>
      <c r="E13">
        <v>5000</v>
      </c>
      <c r="H13">
        <v>1218</v>
      </c>
    </row>
    <row r="14" spans="1:17" x14ac:dyDescent="0.25">
      <c r="A14" t="s">
        <v>31</v>
      </c>
      <c r="E14">
        <v>5000</v>
      </c>
    </row>
    <row r="15" spans="1:17" x14ac:dyDescent="0.25">
      <c r="A15" t="s">
        <v>34</v>
      </c>
      <c r="H15">
        <v>998</v>
      </c>
    </row>
    <row r="16" spans="1:17" x14ac:dyDescent="0.25">
      <c r="A16" t="s">
        <v>38</v>
      </c>
      <c r="H16">
        <v>400</v>
      </c>
    </row>
    <row r="17" spans="1:10" x14ac:dyDescent="0.25">
      <c r="A17" t="s">
        <v>42</v>
      </c>
      <c r="F17">
        <v>140</v>
      </c>
      <c r="H17">
        <v>280</v>
      </c>
    </row>
    <row r="18" spans="1:10" x14ac:dyDescent="0.25">
      <c r="A18" t="s">
        <v>41</v>
      </c>
      <c r="B18" t="s">
        <v>31</v>
      </c>
      <c r="F18">
        <v>174</v>
      </c>
      <c r="I18">
        <v>16</v>
      </c>
    </row>
    <row r="19" spans="1:10" x14ac:dyDescent="0.25">
      <c r="B19" t="s">
        <v>43</v>
      </c>
      <c r="F19">
        <v>230</v>
      </c>
    </row>
    <row r="20" spans="1:10" x14ac:dyDescent="0.25">
      <c r="B20" t="s">
        <v>44</v>
      </c>
      <c r="F20">
        <v>110</v>
      </c>
    </row>
    <row r="22" spans="1:10" x14ac:dyDescent="0.25">
      <c r="A22" t="s">
        <v>45</v>
      </c>
      <c r="H22">
        <v>599</v>
      </c>
    </row>
    <row r="25" spans="1:10" x14ac:dyDescent="0.25">
      <c r="A25" t="s">
        <v>46</v>
      </c>
      <c r="B25" t="s">
        <v>10</v>
      </c>
      <c r="H25">
        <v>8800</v>
      </c>
    </row>
    <row r="26" spans="1:10" x14ac:dyDescent="0.25">
      <c r="A26" t="s">
        <v>47</v>
      </c>
      <c r="F26">
        <v>10000</v>
      </c>
    </row>
    <row r="30" spans="1:10" x14ac:dyDescent="0.25">
      <c r="E30">
        <f>SUM(E2:E29)</f>
        <v>42699</v>
      </c>
      <c r="F30">
        <f t="shared" ref="F30:I30" si="0">SUM(F2:F29)</f>
        <v>10754</v>
      </c>
      <c r="G30">
        <f t="shared" si="0"/>
        <v>230</v>
      </c>
      <c r="H30">
        <f t="shared" si="0"/>
        <v>14293</v>
      </c>
      <c r="I30">
        <f t="shared" si="0"/>
        <v>714</v>
      </c>
      <c r="J30" s="1">
        <f>SUM(E30:I30)</f>
        <v>68690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"/>
  <sheetViews>
    <sheetView workbookViewId="0">
      <selection activeCell="G8" sqref="G8"/>
    </sheetView>
  </sheetViews>
  <sheetFormatPr defaultRowHeight="15" x14ac:dyDescent="0.25"/>
  <cols>
    <col min="3" max="3" width="15.5703125" customWidth="1"/>
    <col min="13" max="13" width="14.140625" customWidth="1"/>
  </cols>
  <sheetData>
    <row r="1" spans="1:16" x14ac:dyDescent="0.25">
      <c r="E1" t="s">
        <v>9</v>
      </c>
      <c r="F1" t="s">
        <v>8</v>
      </c>
      <c r="G1" t="s">
        <v>7</v>
      </c>
      <c r="H1" t="s">
        <v>6</v>
      </c>
      <c r="I1" t="s">
        <v>5</v>
      </c>
      <c r="M1" t="s">
        <v>0</v>
      </c>
    </row>
    <row r="2" spans="1:16" x14ac:dyDescent="0.25">
      <c r="A2" t="s">
        <v>10</v>
      </c>
      <c r="E2">
        <v>2500</v>
      </c>
      <c r="M2" t="s">
        <v>1</v>
      </c>
    </row>
    <row r="3" spans="1:16" x14ac:dyDescent="0.25">
      <c r="A3" t="s">
        <v>12</v>
      </c>
      <c r="E3">
        <v>10000</v>
      </c>
    </row>
    <row r="4" spans="1:16" x14ac:dyDescent="0.25">
      <c r="A4" t="s">
        <v>14</v>
      </c>
      <c r="E4">
        <v>15000</v>
      </c>
    </row>
    <row r="5" spans="1:16" x14ac:dyDescent="0.25">
      <c r="A5" t="s">
        <v>47</v>
      </c>
      <c r="E5">
        <v>5000</v>
      </c>
      <c r="M5" t="s">
        <v>53</v>
      </c>
      <c r="O5" t="s">
        <v>2</v>
      </c>
    </row>
    <row r="6" spans="1:16" x14ac:dyDescent="0.25">
      <c r="A6" t="s">
        <v>18</v>
      </c>
      <c r="E6">
        <v>7200</v>
      </c>
    </row>
    <row r="7" spans="1:16" x14ac:dyDescent="0.25">
      <c r="A7" t="s">
        <v>48</v>
      </c>
      <c r="E7">
        <v>5000</v>
      </c>
    </row>
    <row r="8" spans="1:16" x14ac:dyDescent="0.25">
      <c r="A8" t="s">
        <v>49</v>
      </c>
      <c r="G8">
        <v>5600</v>
      </c>
      <c r="I8">
        <v>149</v>
      </c>
      <c r="M8" t="s">
        <v>3</v>
      </c>
      <c r="P8" t="s">
        <v>55</v>
      </c>
    </row>
    <row r="9" spans="1:16" ht="15.75" customHeight="1" x14ac:dyDescent="0.25">
      <c r="A9" t="s">
        <v>50</v>
      </c>
      <c r="F9">
        <v>40</v>
      </c>
      <c r="I9">
        <v>49</v>
      </c>
      <c r="M9" t="s">
        <v>54</v>
      </c>
    </row>
    <row r="10" spans="1:16" x14ac:dyDescent="0.25">
      <c r="A10" t="s">
        <v>52</v>
      </c>
      <c r="E10">
        <v>363</v>
      </c>
    </row>
    <row r="11" spans="1:16" x14ac:dyDescent="0.25">
      <c r="A11" t="s">
        <v>59</v>
      </c>
      <c r="E11">
        <v>1218</v>
      </c>
    </row>
    <row r="12" spans="1:16" x14ac:dyDescent="0.25">
      <c r="A12" t="s">
        <v>51</v>
      </c>
      <c r="E12">
        <v>1000</v>
      </c>
    </row>
    <row r="14" spans="1:16" x14ac:dyDescent="0.25">
      <c r="A14" t="s">
        <v>60</v>
      </c>
      <c r="E14">
        <v>595</v>
      </c>
    </row>
    <row r="15" spans="1:16" x14ac:dyDescent="0.25">
      <c r="A15" t="s">
        <v>57</v>
      </c>
      <c r="C15" t="s">
        <v>66</v>
      </c>
      <c r="E15">
        <v>1500</v>
      </c>
    </row>
    <row r="16" spans="1:16" x14ac:dyDescent="0.25">
      <c r="A16" t="s">
        <v>58</v>
      </c>
      <c r="E16">
        <v>600</v>
      </c>
    </row>
    <row r="17" spans="1:10" x14ac:dyDescent="0.25">
      <c r="A17" t="s">
        <v>62</v>
      </c>
      <c r="E17">
        <v>80</v>
      </c>
    </row>
    <row r="18" spans="1:10" x14ac:dyDescent="0.25">
      <c r="A18" t="s">
        <v>63</v>
      </c>
      <c r="E18">
        <v>595</v>
      </c>
    </row>
    <row r="20" spans="1:10" x14ac:dyDescent="0.25">
      <c r="A20" t="s">
        <v>67</v>
      </c>
      <c r="E20">
        <v>430</v>
      </c>
    </row>
    <row r="21" spans="1:10" x14ac:dyDescent="0.25">
      <c r="A21" t="s">
        <v>65</v>
      </c>
      <c r="E21">
        <v>949</v>
      </c>
    </row>
    <row r="22" spans="1:10" x14ac:dyDescent="0.25">
      <c r="A22" t="s">
        <v>64</v>
      </c>
      <c r="E22">
        <v>400</v>
      </c>
    </row>
    <row r="23" spans="1:10" x14ac:dyDescent="0.25">
      <c r="A23" t="s">
        <v>61</v>
      </c>
      <c r="E23">
        <v>2550</v>
      </c>
    </row>
    <row r="30" spans="1:10" x14ac:dyDescent="0.25">
      <c r="E30" s="2">
        <f>SUM(E2:E29)</f>
        <v>54980</v>
      </c>
      <c r="F30" s="2">
        <f t="shared" ref="F30:I30" si="0">SUM(F2:F29)</f>
        <v>40</v>
      </c>
      <c r="G30" s="2">
        <f t="shared" si="0"/>
        <v>5600</v>
      </c>
      <c r="H30" s="2">
        <f t="shared" si="0"/>
        <v>0</v>
      </c>
      <c r="I30" s="2">
        <f t="shared" si="0"/>
        <v>198</v>
      </c>
      <c r="J30" s="1">
        <f>SUM(E30:I30)</f>
        <v>60818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workbookViewId="0">
      <selection activeCell="L12" sqref="L12"/>
    </sheetView>
  </sheetViews>
  <sheetFormatPr defaultRowHeight="15" x14ac:dyDescent="0.25"/>
  <cols>
    <col min="6" max="6" width="16.7109375" customWidth="1"/>
  </cols>
  <sheetData>
    <row r="1" spans="1:15" x14ac:dyDescent="0.25">
      <c r="E1" t="s">
        <v>9</v>
      </c>
      <c r="F1" t="s">
        <v>8</v>
      </c>
      <c r="G1" t="s">
        <v>7</v>
      </c>
      <c r="H1" t="s">
        <v>6</v>
      </c>
      <c r="I1" t="s">
        <v>5</v>
      </c>
      <c r="L1" t="s">
        <v>0</v>
      </c>
    </row>
    <row r="2" spans="1:15" x14ac:dyDescent="0.25">
      <c r="A2" t="s">
        <v>10</v>
      </c>
      <c r="E2">
        <v>2500</v>
      </c>
      <c r="L2" t="s">
        <v>1</v>
      </c>
    </row>
    <row r="3" spans="1:15" x14ac:dyDescent="0.25">
      <c r="A3" t="s">
        <v>12</v>
      </c>
      <c r="E3">
        <v>7000</v>
      </c>
    </row>
    <row r="4" spans="1:15" x14ac:dyDescent="0.25">
      <c r="A4" t="s">
        <v>14</v>
      </c>
      <c r="E4">
        <v>15000</v>
      </c>
    </row>
    <row r="5" spans="1:15" x14ac:dyDescent="0.25">
      <c r="A5" t="s">
        <v>47</v>
      </c>
      <c r="C5" t="s">
        <v>68</v>
      </c>
      <c r="E5">
        <v>5000</v>
      </c>
      <c r="F5">
        <v>100</v>
      </c>
      <c r="G5">
        <v>150</v>
      </c>
      <c r="L5" t="s">
        <v>53</v>
      </c>
      <c r="N5" t="s">
        <v>2</v>
      </c>
    </row>
    <row r="6" spans="1:15" x14ac:dyDescent="0.25">
      <c r="A6" t="s">
        <v>18</v>
      </c>
      <c r="C6" t="s">
        <v>69</v>
      </c>
      <c r="E6">
        <v>7200</v>
      </c>
      <c r="F6">
        <v>105</v>
      </c>
      <c r="I6">
        <v>16</v>
      </c>
    </row>
    <row r="7" spans="1:15" x14ac:dyDescent="0.25">
      <c r="A7" t="s">
        <v>48</v>
      </c>
      <c r="C7" t="s">
        <v>70</v>
      </c>
      <c r="E7">
        <v>5000</v>
      </c>
      <c r="F7">
        <v>393</v>
      </c>
      <c r="I7">
        <v>16</v>
      </c>
    </row>
    <row r="8" spans="1:15" x14ac:dyDescent="0.25">
      <c r="A8" t="s">
        <v>52</v>
      </c>
      <c r="C8" t="s">
        <v>72</v>
      </c>
      <c r="E8">
        <v>363</v>
      </c>
      <c r="F8">
        <v>70</v>
      </c>
      <c r="I8">
        <v>16</v>
      </c>
      <c r="L8" t="s">
        <v>3</v>
      </c>
      <c r="O8" t="s">
        <v>55</v>
      </c>
    </row>
    <row r="9" spans="1:15" x14ac:dyDescent="0.25">
      <c r="A9" t="s">
        <v>76</v>
      </c>
      <c r="C9" t="s">
        <v>74</v>
      </c>
      <c r="E9">
        <v>800</v>
      </c>
      <c r="F9">
        <v>120</v>
      </c>
      <c r="I9">
        <v>16</v>
      </c>
      <c r="L9" t="s">
        <v>54</v>
      </c>
    </row>
    <row r="10" spans="1:15" x14ac:dyDescent="0.25">
      <c r="A10" t="s">
        <v>71</v>
      </c>
      <c r="C10" t="s">
        <v>75</v>
      </c>
      <c r="E10">
        <v>1338</v>
      </c>
      <c r="F10">
        <v>280</v>
      </c>
      <c r="I10">
        <v>16</v>
      </c>
    </row>
    <row r="11" spans="1:15" x14ac:dyDescent="0.25">
      <c r="A11" t="s">
        <v>73</v>
      </c>
      <c r="E11">
        <v>499</v>
      </c>
      <c r="I11">
        <v>16</v>
      </c>
    </row>
    <row r="15" spans="1:15" x14ac:dyDescent="0.25">
      <c r="A15" t="s">
        <v>79</v>
      </c>
      <c r="E15">
        <v>600</v>
      </c>
    </row>
    <row r="19" spans="1:10" x14ac:dyDescent="0.25">
      <c r="A19" t="s">
        <v>78</v>
      </c>
      <c r="E19">
        <v>350</v>
      </c>
      <c r="I19">
        <v>149</v>
      </c>
    </row>
    <row r="20" spans="1:10" x14ac:dyDescent="0.25">
      <c r="A20" t="s">
        <v>77</v>
      </c>
      <c r="E20">
        <v>300</v>
      </c>
    </row>
    <row r="22" spans="1:10" x14ac:dyDescent="0.25">
      <c r="A22" t="s">
        <v>80</v>
      </c>
      <c r="F22">
        <v>95</v>
      </c>
    </row>
    <row r="23" spans="1:10" x14ac:dyDescent="0.25">
      <c r="F23">
        <v>160</v>
      </c>
    </row>
    <row r="24" spans="1:10" x14ac:dyDescent="0.25">
      <c r="F24">
        <v>54</v>
      </c>
    </row>
    <row r="30" spans="1:10" x14ac:dyDescent="0.25">
      <c r="E30">
        <f>SUM(E2:E29)</f>
        <v>45950</v>
      </c>
      <c r="F30">
        <f t="shared" ref="F30:I30" si="0">SUM(F2:F29)</f>
        <v>1377</v>
      </c>
      <c r="G30">
        <f t="shared" si="0"/>
        <v>150</v>
      </c>
      <c r="H30">
        <f t="shared" si="0"/>
        <v>0</v>
      </c>
      <c r="I30">
        <f t="shared" si="0"/>
        <v>245</v>
      </c>
      <c r="J30" s="1">
        <f>SUM(E30:I30)</f>
        <v>47722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2"/>
  <sheetViews>
    <sheetView workbookViewId="0">
      <selection activeCell="E3" sqref="E3"/>
    </sheetView>
  </sheetViews>
  <sheetFormatPr defaultRowHeight="15" x14ac:dyDescent="0.25"/>
  <sheetData>
    <row r="1" spans="1:16" x14ac:dyDescent="0.25">
      <c r="E1" t="s">
        <v>9</v>
      </c>
      <c r="F1" t="s">
        <v>8</v>
      </c>
      <c r="G1" t="s">
        <v>7</v>
      </c>
      <c r="H1" t="s">
        <v>6</v>
      </c>
      <c r="I1" t="s">
        <v>5</v>
      </c>
      <c r="M1" t="s">
        <v>0</v>
      </c>
    </row>
    <row r="2" spans="1:16" x14ac:dyDescent="0.25">
      <c r="A2" t="s">
        <v>10</v>
      </c>
      <c r="E2">
        <v>2500</v>
      </c>
      <c r="M2" t="s">
        <v>1</v>
      </c>
    </row>
    <row r="3" spans="1:16" x14ac:dyDescent="0.25">
      <c r="A3" t="s">
        <v>51</v>
      </c>
      <c r="E3">
        <v>600</v>
      </c>
    </row>
    <row r="4" spans="1:16" x14ac:dyDescent="0.25">
      <c r="A4" t="s">
        <v>14</v>
      </c>
      <c r="E4">
        <v>15000</v>
      </c>
      <c r="I4">
        <v>16</v>
      </c>
    </row>
    <row r="5" spans="1:16" x14ac:dyDescent="0.25">
      <c r="A5" t="s">
        <v>47</v>
      </c>
      <c r="E5">
        <v>5000</v>
      </c>
      <c r="M5" t="s">
        <v>53</v>
      </c>
      <c r="O5" t="s">
        <v>2</v>
      </c>
    </row>
    <row r="6" spans="1:16" x14ac:dyDescent="0.25">
      <c r="A6" t="s">
        <v>18</v>
      </c>
      <c r="E6">
        <v>7200</v>
      </c>
    </row>
    <row r="7" spans="1:16" x14ac:dyDescent="0.25">
      <c r="A7" t="s">
        <v>48</v>
      </c>
      <c r="E7">
        <v>5000</v>
      </c>
      <c r="I7">
        <v>149</v>
      </c>
    </row>
    <row r="8" spans="1:16" x14ac:dyDescent="0.25">
      <c r="A8" t="s">
        <v>52</v>
      </c>
      <c r="E8">
        <v>850</v>
      </c>
      <c r="I8">
        <v>49</v>
      </c>
      <c r="M8" t="s">
        <v>3</v>
      </c>
      <c r="P8" t="s">
        <v>55</v>
      </c>
    </row>
    <row r="9" spans="1:16" x14ac:dyDescent="0.25">
      <c r="M9" t="s">
        <v>54</v>
      </c>
    </row>
    <row r="10" spans="1:16" x14ac:dyDescent="0.25">
      <c r="A10" t="s">
        <v>81</v>
      </c>
      <c r="E10">
        <v>3000</v>
      </c>
    </row>
    <row r="14" spans="1:16" x14ac:dyDescent="0.25">
      <c r="A14" t="s">
        <v>82</v>
      </c>
    </row>
    <row r="15" spans="1:16" x14ac:dyDescent="0.25">
      <c r="A15" t="s">
        <v>83</v>
      </c>
      <c r="E15">
        <v>290</v>
      </c>
    </row>
    <row r="17" spans="1:11" x14ac:dyDescent="0.25">
      <c r="A17" t="s">
        <v>84</v>
      </c>
      <c r="E17">
        <v>1708</v>
      </c>
      <c r="I17">
        <v>16</v>
      </c>
    </row>
    <row r="18" spans="1:11" x14ac:dyDescent="0.25">
      <c r="A18" t="s">
        <v>85</v>
      </c>
      <c r="E18">
        <v>6000</v>
      </c>
      <c r="I18">
        <v>16</v>
      </c>
    </row>
    <row r="19" spans="1:11" x14ac:dyDescent="0.25">
      <c r="I19">
        <v>16</v>
      </c>
    </row>
    <row r="20" spans="1:11" x14ac:dyDescent="0.25">
      <c r="A20" t="s">
        <v>86</v>
      </c>
      <c r="E20">
        <v>271</v>
      </c>
      <c r="I20">
        <v>16</v>
      </c>
    </row>
    <row r="23" spans="1:11" x14ac:dyDescent="0.25">
      <c r="A23" t="s">
        <v>87</v>
      </c>
      <c r="E23">
        <v>105</v>
      </c>
    </row>
    <row r="27" spans="1:11" x14ac:dyDescent="0.25">
      <c r="A27" t="s">
        <v>88</v>
      </c>
      <c r="E27">
        <v>919</v>
      </c>
    </row>
    <row r="28" spans="1:11" x14ac:dyDescent="0.25">
      <c r="A28" t="s">
        <v>89</v>
      </c>
      <c r="E28">
        <v>280</v>
      </c>
    </row>
    <row r="32" spans="1:11" x14ac:dyDescent="0.25">
      <c r="E32">
        <f>SUM(E2:E31)</f>
        <v>48723</v>
      </c>
      <c r="F32">
        <f t="shared" ref="F32:I32" si="0">SUM(F2:F31)</f>
        <v>0</v>
      </c>
      <c r="G32">
        <f t="shared" si="0"/>
        <v>0</v>
      </c>
      <c r="H32">
        <f t="shared" si="0"/>
        <v>0</v>
      </c>
      <c r="I32">
        <f t="shared" si="0"/>
        <v>278</v>
      </c>
      <c r="K32" s="1">
        <f>SUM(E32:J32)</f>
        <v>49001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0"/>
  <sheetViews>
    <sheetView tabSelected="1" workbookViewId="0">
      <selection activeCell="D4" sqref="D4"/>
    </sheetView>
  </sheetViews>
  <sheetFormatPr defaultRowHeight="15" x14ac:dyDescent="0.25"/>
  <cols>
    <col min="1" max="1" width="19" customWidth="1"/>
    <col min="3" max="3" width="24.28515625" customWidth="1"/>
    <col min="5" max="5" width="12.7109375" customWidth="1"/>
    <col min="12" max="12" width="10.85546875" customWidth="1"/>
  </cols>
  <sheetData>
    <row r="1" spans="1:15" x14ac:dyDescent="0.25">
      <c r="D1" t="s">
        <v>9</v>
      </c>
      <c r="E1" t="s">
        <v>8</v>
      </c>
      <c r="F1" t="s">
        <v>7</v>
      </c>
      <c r="G1" t="s">
        <v>6</v>
      </c>
      <c r="H1" t="s">
        <v>5</v>
      </c>
      <c r="L1" t="s">
        <v>53</v>
      </c>
      <c r="N1" t="s">
        <v>2</v>
      </c>
    </row>
    <row r="2" spans="1:15" x14ac:dyDescent="0.25">
      <c r="A2" t="s">
        <v>10</v>
      </c>
      <c r="D2">
        <v>2500</v>
      </c>
    </row>
    <row r="3" spans="1:15" x14ac:dyDescent="0.25">
      <c r="A3" t="s">
        <v>51</v>
      </c>
      <c r="D3">
        <v>1500</v>
      </c>
      <c r="L3" t="s">
        <v>103</v>
      </c>
      <c r="M3">
        <v>1.25</v>
      </c>
    </row>
    <row r="4" spans="1:15" x14ac:dyDescent="0.25">
      <c r="A4" t="s">
        <v>14</v>
      </c>
      <c r="D4">
        <v>21000</v>
      </c>
      <c r="L4" t="s">
        <v>3</v>
      </c>
      <c r="O4">
        <v>1</v>
      </c>
    </row>
    <row r="5" spans="1:15" x14ac:dyDescent="0.25">
      <c r="A5" t="s">
        <v>47</v>
      </c>
      <c r="D5">
        <v>5000</v>
      </c>
      <c r="L5" t="s">
        <v>54</v>
      </c>
    </row>
    <row r="6" spans="1:15" x14ac:dyDescent="0.25">
      <c r="A6" t="s">
        <v>18</v>
      </c>
      <c r="B6" t="s">
        <v>92</v>
      </c>
      <c r="D6">
        <v>7200</v>
      </c>
      <c r="E6">
        <v>200</v>
      </c>
    </row>
    <row r="7" spans="1:15" x14ac:dyDescent="0.25">
      <c r="A7" t="s">
        <v>48</v>
      </c>
      <c r="D7">
        <v>5000</v>
      </c>
    </row>
    <row r="8" spans="1:15" x14ac:dyDescent="0.25">
      <c r="A8" t="s">
        <v>91</v>
      </c>
      <c r="B8" t="s">
        <v>70</v>
      </c>
      <c r="E8">
        <v>145</v>
      </c>
      <c r="F8">
        <v>365</v>
      </c>
      <c r="H8">
        <v>149</v>
      </c>
    </row>
    <row r="9" spans="1:15" x14ac:dyDescent="0.25">
      <c r="A9" t="s">
        <v>90</v>
      </c>
      <c r="B9" t="s">
        <v>93</v>
      </c>
      <c r="D9">
        <v>180</v>
      </c>
      <c r="E9">
        <v>245</v>
      </c>
      <c r="H9">
        <v>16</v>
      </c>
    </row>
    <row r="10" spans="1:15" x14ac:dyDescent="0.25">
      <c r="A10" t="s">
        <v>94</v>
      </c>
      <c r="C10" t="s">
        <v>30</v>
      </c>
      <c r="D10">
        <v>650</v>
      </c>
      <c r="E10">
        <v>50</v>
      </c>
    </row>
    <row r="11" spans="1:15" x14ac:dyDescent="0.25">
      <c r="A11" t="s">
        <v>95</v>
      </c>
      <c r="B11" t="s">
        <v>96</v>
      </c>
      <c r="D11">
        <v>10000</v>
      </c>
      <c r="E11">
        <v>100</v>
      </c>
    </row>
    <row r="12" spans="1:15" x14ac:dyDescent="0.25">
      <c r="A12" t="s">
        <v>97</v>
      </c>
      <c r="D12">
        <v>297</v>
      </c>
    </row>
    <row r="13" spans="1:15" x14ac:dyDescent="0.25">
      <c r="A13" t="s">
        <v>98</v>
      </c>
      <c r="D13">
        <v>300</v>
      </c>
    </row>
    <row r="14" spans="1:15" x14ac:dyDescent="0.25">
      <c r="A14" t="s">
        <v>99</v>
      </c>
      <c r="D14">
        <v>12000</v>
      </c>
    </row>
    <row r="15" spans="1:15" x14ac:dyDescent="0.25">
      <c r="A15" t="s">
        <v>100</v>
      </c>
      <c r="D15">
        <f>200+50+50+150+90+40</f>
        <v>580</v>
      </c>
    </row>
    <row r="17" spans="1:9" x14ac:dyDescent="0.25">
      <c r="A17" t="s">
        <v>101</v>
      </c>
      <c r="D17">
        <v>1999</v>
      </c>
    </row>
    <row r="18" spans="1:9" x14ac:dyDescent="0.25">
      <c r="A18" t="s">
        <v>102</v>
      </c>
      <c r="D18">
        <v>620</v>
      </c>
    </row>
    <row r="19" spans="1:9" x14ac:dyDescent="0.25">
      <c r="A19" t="s">
        <v>87</v>
      </c>
      <c r="D19">
        <v>120</v>
      </c>
    </row>
    <row r="23" spans="1:9" x14ac:dyDescent="0.25">
      <c r="A23" t="s">
        <v>107</v>
      </c>
      <c r="D23">
        <v>220</v>
      </c>
    </row>
    <row r="24" spans="1:9" x14ac:dyDescent="0.25">
      <c r="A24" t="s">
        <v>104</v>
      </c>
      <c r="D24">
        <v>1498</v>
      </c>
    </row>
    <row r="25" spans="1:9" x14ac:dyDescent="0.25">
      <c r="D25">
        <v>850</v>
      </c>
    </row>
    <row r="26" spans="1:9" x14ac:dyDescent="0.25">
      <c r="A26" t="s">
        <v>112</v>
      </c>
      <c r="D26">
        <v>549</v>
      </c>
    </row>
    <row r="27" spans="1:9" x14ac:dyDescent="0.25">
      <c r="A27" t="s">
        <v>105</v>
      </c>
      <c r="B27" t="s">
        <v>88</v>
      </c>
      <c r="D27">
        <v>698</v>
      </c>
    </row>
    <row r="28" spans="1:9" x14ac:dyDescent="0.25">
      <c r="A28" t="s">
        <v>106</v>
      </c>
      <c r="D28">
        <v>300</v>
      </c>
    </row>
    <row r="30" spans="1:9" x14ac:dyDescent="0.25">
      <c r="D30">
        <f>SUM(D2:D28)</f>
        <v>73061</v>
      </c>
      <c r="E30">
        <f t="shared" ref="E30:H30" si="0">SUM(E2:E28)</f>
        <v>740</v>
      </c>
      <c r="F30">
        <f t="shared" si="0"/>
        <v>365</v>
      </c>
      <c r="G30">
        <f t="shared" si="0"/>
        <v>0</v>
      </c>
      <c r="H30">
        <f t="shared" si="0"/>
        <v>165</v>
      </c>
      <c r="I30" s="1">
        <f>SUM(D30:H30)</f>
        <v>74331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30"/>
  <sheetViews>
    <sheetView workbookViewId="0">
      <selection activeCell="D6" sqref="D6"/>
    </sheetView>
  </sheetViews>
  <sheetFormatPr defaultRowHeight="15" x14ac:dyDescent="0.25"/>
  <cols>
    <col min="2" max="2" width="21" customWidth="1"/>
    <col min="5" max="5" width="14.140625" customWidth="1"/>
  </cols>
  <sheetData>
    <row r="2" spans="1:15" x14ac:dyDescent="0.25">
      <c r="D2" t="s">
        <v>9</v>
      </c>
      <c r="E2" t="s">
        <v>8</v>
      </c>
      <c r="F2" t="s">
        <v>7</v>
      </c>
      <c r="G2" t="s">
        <v>6</v>
      </c>
      <c r="H2" t="s">
        <v>5</v>
      </c>
    </row>
    <row r="3" spans="1:15" x14ac:dyDescent="0.25">
      <c r="A3" t="s">
        <v>10</v>
      </c>
      <c r="D3">
        <v>2500</v>
      </c>
    </row>
    <row r="4" spans="1:15" x14ac:dyDescent="0.25">
      <c r="A4" t="s">
        <v>48</v>
      </c>
      <c r="D4">
        <v>5000</v>
      </c>
      <c r="L4" t="s">
        <v>103</v>
      </c>
      <c r="M4">
        <v>1.25</v>
      </c>
    </row>
    <row r="5" spans="1:15" x14ac:dyDescent="0.25">
      <c r="A5" t="s">
        <v>51</v>
      </c>
      <c r="C5" t="s">
        <v>98</v>
      </c>
      <c r="D5">
        <v>1500</v>
      </c>
      <c r="E5">
        <v>150</v>
      </c>
      <c r="L5" t="s">
        <v>3</v>
      </c>
      <c r="O5" t="s">
        <v>126</v>
      </c>
    </row>
    <row r="6" spans="1:15" x14ac:dyDescent="0.25">
      <c r="A6" t="s">
        <v>14</v>
      </c>
      <c r="D6">
        <f>20000+40000</f>
        <v>60000</v>
      </c>
      <c r="L6" t="s">
        <v>54</v>
      </c>
    </row>
    <row r="7" spans="1:15" x14ac:dyDescent="0.25">
      <c r="A7" t="s">
        <v>18</v>
      </c>
      <c r="D7">
        <v>7200</v>
      </c>
      <c r="H7">
        <v>49</v>
      </c>
    </row>
    <row r="8" spans="1:15" x14ac:dyDescent="0.25">
      <c r="A8" t="s">
        <v>108</v>
      </c>
      <c r="E8">
        <v>462</v>
      </c>
    </row>
    <row r="9" spans="1:15" x14ac:dyDescent="0.25">
      <c r="A9" t="s">
        <v>109</v>
      </c>
      <c r="B9" s="3" t="s">
        <v>110</v>
      </c>
      <c r="D9">
        <f>145+135</f>
        <v>280</v>
      </c>
      <c r="E9">
        <v>90</v>
      </c>
    </row>
    <row r="10" spans="1:15" x14ac:dyDescent="0.25">
      <c r="A10" t="s">
        <v>111</v>
      </c>
      <c r="D10">
        <v>400</v>
      </c>
    </row>
    <row r="11" spans="1:15" x14ac:dyDescent="0.25">
      <c r="A11" t="s">
        <v>113</v>
      </c>
      <c r="D11">
        <v>1200</v>
      </c>
    </row>
    <row r="12" spans="1:15" x14ac:dyDescent="0.25">
      <c r="A12" t="s">
        <v>114</v>
      </c>
      <c r="E12">
        <v>765</v>
      </c>
    </row>
    <row r="13" spans="1:15" x14ac:dyDescent="0.25">
      <c r="A13" t="s">
        <v>115</v>
      </c>
      <c r="B13" t="s">
        <v>116</v>
      </c>
      <c r="D13">
        <v>3500</v>
      </c>
      <c r="G13">
        <v>910</v>
      </c>
    </row>
    <row r="14" spans="1:15" x14ac:dyDescent="0.25">
      <c r="A14" t="s">
        <v>117</v>
      </c>
      <c r="C14" t="s">
        <v>121</v>
      </c>
      <c r="D14">
        <f>850+400</f>
        <v>1250</v>
      </c>
      <c r="G14">
        <v>980</v>
      </c>
    </row>
    <row r="15" spans="1:15" x14ac:dyDescent="0.25">
      <c r="A15" t="s">
        <v>118</v>
      </c>
      <c r="D15">
        <v>1650</v>
      </c>
    </row>
    <row r="16" spans="1:15" x14ac:dyDescent="0.25">
      <c r="A16" t="s">
        <v>119</v>
      </c>
      <c r="D16">
        <v>2018</v>
      </c>
    </row>
    <row r="17" spans="1:9" x14ac:dyDescent="0.25">
      <c r="A17" t="s">
        <v>120</v>
      </c>
      <c r="D17">
        <v>300</v>
      </c>
    </row>
    <row r="18" spans="1:9" x14ac:dyDescent="0.25">
      <c r="A18" t="s">
        <v>122</v>
      </c>
      <c r="D18">
        <f>312+628</f>
        <v>940</v>
      </c>
      <c r="H18">
        <v>149</v>
      </c>
    </row>
    <row r="19" spans="1:9" x14ac:dyDescent="0.25">
      <c r="A19" t="s">
        <v>123</v>
      </c>
      <c r="D19">
        <v>590</v>
      </c>
      <c r="F19">
        <v>250</v>
      </c>
    </row>
    <row r="20" spans="1:9" x14ac:dyDescent="0.25">
      <c r="A20" t="s">
        <v>124</v>
      </c>
      <c r="D20">
        <f>50+75</f>
        <v>125</v>
      </c>
    </row>
    <row r="21" spans="1:9" x14ac:dyDescent="0.25">
      <c r="A21" t="s">
        <v>125</v>
      </c>
      <c r="D21">
        <f>90+60+40</f>
        <v>190</v>
      </c>
    </row>
    <row r="22" spans="1:9" x14ac:dyDescent="0.25">
      <c r="A22" t="s">
        <v>137</v>
      </c>
      <c r="D22">
        <v>1000</v>
      </c>
    </row>
    <row r="23" spans="1:9" x14ac:dyDescent="0.25">
      <c r="A23" t="s">
        <v>127</v>
      </c>
      <c r="D23">
        <v>900</v>
      </c>
    </row>
    <row r="24" spans="1:9" x14ac:dyDescent="0.25">
      <c r="A24" t="s">
        <v>128</v>
      </c>
      <c r="D24">
        <v>620</v>
      </c>
    </row>
    <row r="25" spans="1:9" x14ac:dyDescent="0.25">
      <c r="A25" t="s">
        <v>134</v>
      </c>
      <c r="B25" t="s">
        <v>135</v>
      </c>
      <c r="C25" t="s">
        <v>144</v>
      </c>
      <c r="D25">
        <f>130</f>
        <v>130</v>
      </c>
      <c r="E25">
        <v>120</v>
      </c>
      <c r="F25">
        <v>300</v>
      </c>
    </row>
    <row r="27" spans="1:9" x14ac:dyDescent="0.25">
      <c r="A27" t="s">
        <v>133</v>
      </c>
      <c r="D27">
        <v>300</v>
      </c>
    </row>
    <row r="28" spans="1:9" x14ac:dyDescent="0.25">
      <c r="A28" t="s">
        <v>136</v>
      </c>
      <c r="D28">
        <v>350</v>
      </c>
    </row>
    <row r="30" spans="1:9" x14ac:dyDescent="0.25">
      <c r="D30">
        <f>SUM(D3:D29)</f>
        <v>91943</v>
      </c>
      <c r="E30">
        <f t="shared" ref="E30:H30" si="0">SUM(E3:E29)</f>
        <v>1587</v>
      </c>
      <c r="F30">
        <f t="shared" si="0"/>
        <v>550</v>
      </c>
      <c r="G30">
        <f t="shared" si="0"/>
        <v>1890</v>
      </c>
      <c r="H30">
        <f t="shared" si="0"/>
        <v>198</v>
      </c>
      <c r="I30" s="1">
        <f>SUM(D30:H30)</f>
        <v>96168</v>
      </c>
    </row>
  </sheetData>
  <hyperlinks>
    <hyperlink ref="B9" r:id="rId1" display="Neera+sarbat@ mastani lake" xr:uid="{00000000-0004-0000-0600-000000000000}"/>
  </hyperlinks>
  <pageMargins left="0.7" right="0.7" top="0.75" bottom="0.75" header="0.3" footer="0.3"/>
  <pageSetup paperSize="9" orientation="portrait" horizontalDpi="200" verticalDpi="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2"/>
  <sheetViews>
    <sheetView workbookViewId="0">
      <selection activeCell="M34" sqref="M34"/>
    </sheetView>
  </sheetViews>
  <sheetFormatPr defaultRowHeight="15" x14ac:dyDescent="0.25"/>
  <cols>
    <col min="3" max="3" width="37.5703125" customWidth="1"/>
    <col min="9" max="9" width="20" customWidth="1"/>
    <col min="13" max="13" width="9" customWidth="1"/>
    <col min="14" max="14" width="11.140625" customWidth="1"/>
    <col min="15" max="15" width="15.85546875" customWidth="1"/>
  </cols>
  <sheetData>
    <row r="1" spans="1:18" x14ac:dyDescent="0.25">
      <c r="D1" t="s">
        <v>9</v>
      </c>
      <c r="E1" t="s">
        <v>8</v>
      </c>
      <c r="F1" t="s">
        <v>7</v>
      </c>
      <c r="G1" t="s">
        <v>6</v>
      </c>
      <c r="H1" t="s">
        <v>5</v>
      </c>
    </row>
    <row r="2" spans="1:18" x14ac:dyDescent="0.25">
      <c r="A2" t="s">
        <v>10</v>
      </c>
      <c r="D2" s="2">
        <v>2500</v>
      </c>
    </row>
    <row r="3" spans="1:18" x14ac:dyDescent="0.25">
      <c r="A3" t="s">
        <v>48</v>
      </c>
      <c r="D3">
        <v>5000</v>
      </c>
      <c r="J3" t="s">
        <v>147</v>
      </c>
      <c r="O3" t="s">
        <v>103</v>
      </c>
      <c r="P3">
        <v>1.25</v>
      </c>
    </row>
    <row r="4" spans="1:18" x14ac:dyDescent="0.25">
      <c r="A4" t="s">
        <v>51</v>
      </c>
      <c r="C4" t="s">
        <v>98</v>
      </c>
      <c r="D4">
        <v>800</v>
      </c>
      <c r="E4">
        <v>150</v>
      </c>
      <c r="H4">
        <v>120</v>
      </c>
      <c r="I4" t="s">
        <v>130</v>
      </c>
      <c r="J4" t="s">
        <v>129</v>
      </c>
      <c r="O4" t="s">
        <v>3</v>
      </c>
      <c r="R4">
        <v>0</v>
      </c>
    </row>
    <row r="5" spans="1:18" x14ac:dyDescent="0.25">
      <c r="A5" t="s">
        <v>14</v>
      </c>
      <c r="B5" t="s">
        <v>138</v>
      </c>
      <c r="C5" t="s">
        <v>143</v>
      </c>
      <c r="D5">
        <f>3500+5000</f>
        <v>8500</v>
      </c>
      <c r="E5">
        <v>1190</v>
      </c>
      <c r="J5" t="s">
        <v>170</v>
      </c>
      <c r="O5" t="s">
        <v>54</v>
      </c>
    </row>
    <row r="6" spans="1:18" x14ac:dyDescent="0.25">
      <c r="A6" t="s">
        <v>18</v>
      </c>
      <c r="D6">
        <v>7200</v>
      </c>
      <c r="H6">
        <v>149</v>
      </c>
      <c r="I6" t="s">
        <v>173</v>
      </c>
      <c r="J6" t="s">
        <v>129</v>
      </c>
    </row>
    <row r="7" spans="1:18" x14ac:dyDescent="0.25">
      <c r="A7" t="s">
        <v>150</v>
      </c>
      <c r="D7">
        <v>999</v>
      </c>
      <c r="I7" t="s">
        <v>174</v>
      </c>
      <c r="J7" t="s">
        <v>175</v>
      </c>
    </row>
    <row r="8" spans="1:18" x14ac:dyDescent="0.25">
      <c r="A8" t="s">
        <v>155</v>
      </c>
      <c r="C8" t="s">
        <v>87</v>
      </c>
      <c r="D8">
        <v>1850</v>
      </c>
      <c r="E8">
        <f>175+50</f>
        <v>225</v>
      </c>
    </row>
    <row r="9" spans="1:18" x14ac:dyDescent="0.25">
      <c r="A9" t="s">
        <v>151</v>
      </c>
      <c r="D9">
        <f>230+220</f>
        <v>450</v>
      </c>
    </row>
    <row r="10" spans="1:18" x14ac:dyDescent="0.25">
      <c r="A10" t="s">
        <v>156</v>
      </c>
      <c r="B10" t="s">
        <v>157</v>
      </c>
      <c r="C10" t="s">
        <v>158</v>
      </c>
      <c r="D10">
        <f>299+1700+420</f>
        <v>2419</v>
      </c>
      <c r="O10" t="s">
        <v>139</v>
      </c>
    </row>
    <row r="11" spans="1:18" x14ac:dyDescent="0.25">
      <c r="A11" t="s">
        <v>159</v>
      </c>
      <c r="C11" t="s">
        <v>161</v>
      </c>
      <c r="D11">
        <f>799+799</f>
        <v>1598</v>
      </c>
    </row>
    <row r="12" spans="1:18" x14ac:dyDescent="0.25">
      <c r="D12">
        <f>395+40</f>
        <v>435</v>
      </c>
      <c r="O12" t="s">
        <v>140</v>
      </c>
      <c r="P12">
        <v>740</v>
      </c>
    </row>
    <row r="13" spans="1:18" x14ac:dyDescent="0.25">
      <c r="A13" t="s">
        <v>162</v>
      </c>
      <c r="D13">
        <v>1250</v>
      </c>
      <c r="O13" t="s">
        <v>141</v>
      </c>
      <c r="P13">
        <v>100</v>
      </c>
    </row>
    <row r="14" spans="1:18" x14ac:dyDescent="0.25">
      <c r="A14" t="s">
        <v>153</v>
      </c>
      <c r="D14">
        <v>58000</v>
      </c>
      <c r="F14">
        <v>230</v>
      </c>
      <c r="I14" t="s">
        <v>149</v>
      </c>
      <c r="O14" t="s">
        <v>142</v>
      </c>
      <c r="P14">
        <v>50</v>
      </c>
    </row>
    <row r="15" spans="1:18" x14ac:dyDescent="0.25">
      <c r="A15" t="s">
        <v>191</v>
      </c>
      <c r="D15">
        <v>380</v>
      </c>
      <c r="I15" t="s">
        <v>131</v>
      </c>
      <c r="K15" t="s">
        <v>132</v>
      </c>
      <c r="O15" t="s">
        <v>154</v>
      </c>
      <c r="P15">
        <f>50+80+170</f>
        <v>300</v>
      </c>
    </row>
    <row r="16" spans="1:18" x14ac:dyDescent="0.25">
      <c r="A16" t="s">
        <v>163</v>
      </c>
      <c r="D16">
        <v>1100</v>
      </c>
      <c r="I16" t="s">
        <v>148</v>
      </c>
    </row>
    <row r="17" spans="1:16" x14ac:dyDescent="0.25">
      <c r="A17" t="s">
        <v>169</v>
      </c>
      <c r="D17">
        <v>352</v>
      </c>
      <c r="O17" t="s">
        <v>31</v>
      </c>
    </row>
    <row r="18" spans="1:16" x14ac:dyDescent="0.25">
      <c r="G18">
        <v>49</v>
      </c>
      <c r="O18" t="s">
        <v>145</v>
      </c>
      <c r="P18">
        <v>203</v>
      </c>
    </row>
    <row r="19" spans="1:16" x14ac:dyDescent="0.25">
      <c r="A19" t="s">
        <v>168</v>
      </c>
      <c r="B19" t="s">
        <v>192</v>
      </c>
      <c r="D19">
        <v>320</v>
      </c>
      <c r="O19" t="s">
        <v>146</v>
      </c>
      <c r="P19">
        <v>900</v>
      </c>
    </row>
    <row r="20" spans="1:16" x14ac:dyDescent="0.25">
      <c r="A20" t="s">
        <v>242</v>
      </c>
      <c r="D20">
        <v>300000</v>
      </c>
      <c r="F20" t="s">
        <v>290</v>
      </c>
    </row>
    <row r="21" spans="1:16" x14ac:dyDescent="0.25">
      <c r="A21" t="s">
        <v>164</v>
      </c>
      <c r="D21">
        <f>150+20</f>
        <v>170</v>
      </c>
    </row>
    <row r="22" spans="1:16" x14ac:dyDescent="0.25">
      <c r="A22" t="s">
        <v>152</v>
      </c>
      <c r="D22">
        <v>5500</v>
      </c>
    </row>
    <row r="23" spans="1:16" x14ac:dyDescent="0.25">
      <c r="A23" t="s">
        <v>165</v>
      </c>
      <c r="D23">
        <v>2593</v>
      </c>
      <c r="M23" t="s">
        <v>293</v>
      </c>
      <c r="O23" t="s">
        <v>294</v>
      </c>
    </row>
    <row r="24" spans="1:16" x14ac:dyDescent="0.25">
      <c r="A24" t="s">
        <v>166</v>
      </c>
      <c r="D24">
        <v>763</v>
      </c>
      <c r="M24" t="s">
        <v>295</v>
      </c>
    </row>
    <row r="25" spans="1:16" x14ac:dyDescent="0.25">
      <c r="A25" t="s">
        <v>160</v>
      </c>
      <c r="D25">
        <f>1150+1184</f>
        <v>2334</v>
      </c>
    </row>
    <row r="26" spans="1:16" x14ac:dyDescent="0.25">
      <c r="A26" t="s">
        <v>167</v>
      </c>
      <c r="D26">
        <f>230+25</f>
        <v>255</v>
      </c>
    </row>
    <row r="32" spans="1:16" x14ac:dyDescent="0.25">
      <c r="D32">
        <f>SUM(D2:D31)</f>
        <v>404768</v>
      </c>
      <c r="E32">
        <f t="shared" ref="E32:H32" si="0">SUM(E2:E31)</f>
        <v>1565</v>
      </c>
      <c r="F32">
        <f t="shared" si="0"/>
        <v>230</v>
      </c>
      <c r="G32">
        <f t="shared" si="0"/>
        <v>49</v>
      </c>
      <c r="H32">
        <f t="shared" si="0"/>
        <v>269</v>
      </c>
      <c r="I32" s="1">
        <f>SUM(D32:H32)</f>
        <v>406881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2"/>
  <sheetViews>
    <sheetView workbookViewId="0">
      <selection activeCell="E3" sqref="E3"/>
    </sheetView>
  </sheetViews>
  <sheetFormatPr defaultRowHeight="15" x14ac:dyDescent="0.25"/>
  <cols>
    <col min="1" max="1" width="16.7109375" customWidth="1"/>
    <col min="2" max="2" width="11.5703125" customWidth="1"/>
    <col min="4" max="4" width="22.85546875" customWidth="1"/>
    <col min="11" max="11" width="12" bestFit="1" customWidth="1"/>
  </cols>
  <sheetData>
    <row r="1" spans="1:15" x14ac:dyDescent="0.25">
      <c r="E1" t="s">
        <v>9</v>
      </c>
      <c r="F1" t="s">
        <v>8</v>
      </c>
      <c r="G1" t="s">
        <v>7</v>
      </c>
      <c r="H1" t="s">
        <v>6</v>
      </c>
      <c r="I1" t="s">
        <v>5</v>
      </c>
    </row>
    <row r="2" spans="1:15" x14ac:dyDescent="0.25">
      <c r="A2" t="s">
        <v>10</v>
      </c>
      <c r="E2" s="2">
        <v>2500</v>
      </c>
      <c r="N2" t="s">
        <v>103</v>
      </c>
      <c r="O2">
        <v>1.25</v>
      </c>
    </row>
    <row r="3" spans="1:15" x14ac:dyDescent="0.25">
      <c r="A3" t="s">
        <v>48</v>
      </c>
      <c r="E3">
        <v>5000</v>
      </c>
      <c r="N3" t="s">
        <v>171</v>
      </c>
      <c r="O3" t="s">
        <v>172</v>
      </c>
    </row>
    <row r="4" spans="1:15" x14ac:dyDescent="0.25">
      <c r="A4" t="s">
        <v>51</v>
      </c>
      <c r="C4" t="s">
        <v>98</v>
      </c>
      <c r="E4">
        <v>1200</v>
      </c>
      <c r="F4">
        <v>150</v>
      </c>
      <c r="K4" t="s">
        <v>193</v>
      </c>
    </row>
    <row r="5" spans="1:15" x14ac:dyDescent="0.25">
      <c r="A5" t="s">
        <v>14</v>
      </c>
      <c r="E5">
        <v>20000</v>
      </c>
    </row>
    <row r="6" spans="1:15" x14ac:dyDescent="0.25">
      <c r="A6" t="s">
        <v>18</v>
      </c>
      <c r="B6" t="s">
        <v>190</v>
      </c>
      <c r="E6">
        <v>7200</v>
      </c>
      <c r="F6">
        <v>385</v>
      </c>
    </row>
    <row r="7" spans="1:15" x14ac:dyDescent="0.25">
      <c r="A7" t="s">
        <v>196</v>
      </c>
      <c r="B7" t="s">
        <v>87</v>
      </c>
      <c r="C7" t="s">
        <v>176</v>
      </c>
      <c r="E7">
        <f>20+45+44+238</f>
        <v>347</v>
      </c>
      <c r="F7">
        <v>250</v>
      </c>
    </row>
    <row r="8" spans="1:15" x14ac:dyDescent="0.25">
      <c r="A8" t="s">
        <v>189</v>
      </c>
      <c r="E8">
        <v>399</v>
      </c>
      <c r="H8">
        <v>149</v>
      </c>
    </row>
    <row r="9" spans="1:15" x14ac:dyDescent="0.25">
      <c r="A9" t="s">
        <v>177</v>
      </c>
      <c r="C9" t="s">
        <v>178</v>
      </c>
      <c r="D9" t="s">
        <v>179</v>
      </c>
      <c r="E9">
        <v>245</v>
      </c>
    </row>
    <row r="10" spans="1:15" x14ac:dyDescent="0.25">
      <c r="A10" t="s">
        <v>180</v>
      </c>
      <c r="B10" t="s">
        <v>87</v>
      </c>
      <c r="C10" t="s">
        <v>184</v>
      </c>
      <c r="E10">
        <v>3304</v>
      </c>
      <c r="F10">
        <v>100</v>
      </c>
      <c r="G10">
        <v>150</v>
      </c>
    </row>
    <row r="11" spans="1:15" x14ac:dyDescent="0.25">
      <c r="A11" t="s">
        <v>181</v>
      </c>
      <c r="B11" t="s">
        <v>182</v>
      </c>
      <c r="C11" t="s">
        <v>183</v>
      </c>
      <c r="E11">
        <v>255</v>
      </c>
      <c r="F11">
        <v>60</v>
      </c>
      <c r="G11">
        <v>130</v>
      </c>
    </row>
    <row r="12" spans="1:15" x14ac:dyDescent="0.25">
      <c r="A12" t="s">
        <v>13</v>
      </c>
      <c r="B12" t="s">
        <v>185</v>
      </c>
      <c r="D12" t="s">
        <v>188</v>
      </c>
      <c r="E12">
        <v>221</v>
      </c>
      <c r="F12">
        <v>70</v>
      </c>
      <c r="G12">
        <v>50</v>
      </c>
    </row>
    <row r="13" spans="1:15" x14ac:dyDescent="0.25">
      <c r="A13" t="s">
        <v>186</v>
      </c>
      <c r="D13" t="s">
        <v>187</v>
      </c>
      <c r="E13">
        <v>80</v>
      </c>
      <c r="F13">
        <v>50</v>
      </c>
    </row>
    <row r="14" spans="1:15" x14ac:dyDescent="0.25">
      <c r="A14" t="s">
        <v>194</v>
      </c>
      <c r="C14" t="s">
        <v>195</v>
      </c>
      <c r="E14">
        <v>90</v>
      </c>
      <c r="F14">
        <v>50</v>
      </c>
    </row>
    <row r="15" spans="1:15" x14ac:dyDescent="0.25">
      <c r="A15" t="s">
        <v>197</v>
      </c>
      <c r="E15">
        <v>1100</v>
      </c>
    </row>
    <row r="16" spans="1:15" x14ac:dyDescent="0.25">
      <c r="A16" t="s">
        <v>198</v>
      </c>
      <c r="C16" t="s">
        <v>203</v>
      </c>
      <c r="E16">
        <v>455</v>
      </c>
      <c r="F16">
        <v>255</v>
      </c>
    </row>
    <row r="17" spans="1:9" x14ac:dyDescent="0.25">
      <c r="A17" t="s">
        <v>199</v>
      </c>
      <c r="C17" t="s">
        <v>202</v>
      </c>
      <c r="E17">
        <v>2000</v>
      </c>
      <c r="F17">
        <v>150</v>
      </c>
    </row>
    <row r="18" spans="1:9" x14ac:dyDescent="0.25">
      <c r="A18" t="s">
        <v>200</v>
      </c>
      <c r="C18" t="s">
        <v>201</v>
      </c>
      <c r="E18">
        <v>2250</v>
      </c>
      <c r="F18">
        <v>151</v>
      </c>
      <c r="G18">
        <v>300</v>
      </c>
    </row>
    <row r="19" spans="1:9" x14ac:dyDescent="0.25">
      <c r="A19" t="s">
        <v>204</v>
      </c>
      <c r="E19">
        <v>260</v>
      </c>
    </row>
    <row r="20" spans="1:9" x14ac:dyDescent="0.25">
      <c r="A20" t="s">
        <v>205</v>
      </c>
      <c r="E20">
        <v>460</v>
      </c>
    </row>
    <row r="21" spans="1:9" x14ac:dyDescent="0.25">
      <c r="A21" t="s">
        <v>206</v>
      </c>
      <c r="E21">
        <v>100</v>
      </c>
    </row>
    <row r="22" spans="1:9" x14ac:dyDescent="0.25">
      <c r="A22" t="s">
        <v>207</v>
      </c>
      <c r="E22">
        <v>230</v>
      </c>
    </row>
    <row r="23" spans="1:9" x14ac:dyDescent="0.25">
      <c r="A23" t="s">
        <v>208</v>
      </c>
      <c r="C23" t="s">
        <v>209</v>
      </c>
      <c r="E23">
        <v>3198</v>
      </c>
      <c r="G23">
        <v>270</v>
      </c>
    </row>
    <row r="24" spans="1:9" x14ac:dyDescent="0.25">
      <c r="A24" t="s">
        <v>210</v>
      </c>
      <c r="E24">
        <v>210</v>
      </c>
    </row>
    <row r="25" spans="1:9" x14ac:dyDescent="0.25">
      <c r="A25" t="s">
        <v>211</v>
      </c>
      <c r="E25">
        <f>45+30+20+25</f>
        <v>120</v>
      </c>
    </row>
    <row r="27" spans="1:9" x14ac:dyDescent="0.25">
      <c r="A27" t="s">
        <v>212</v>
      </c>
      <c r="E27">
        <v>702</v>
      </c>
    </row>
    <row r="28" spans="1:9" x14ac:dyDescent="0.25">
      <c r="H28">
        <v>149</v>
      </c>
    </row>
    <row r="29" spans="1:9" x14ac:dyDescent="0.25">
      <c r="A29" t="s">
        <v>216</v>
      </c>
      <c r="E29">
        <v>699</v>
      </c>
    </row>
    <row r="32" spans="1:9" x14ac:dyDescent="0.25">
      <c r="E32">
        <f>SUM(E2:E31)</f>
        <v>52625</v>
      </c>
      <c r="F32">
        <f t="shared" ref="F32:G32" si="0">SUM(F2:F31)</f>
        <v>1671</v>
      </c>
      <c r="G32">
        <f t="shared" si="0"/>
        <v>900</v>
      </c>
      <c r="H32">
        <f>SUM(H2:H31)</f>
        <v>298</v>
      </c>
      <c r="I32" s="1">
        <f>SUM(E32:H32)</f>
        <v>55494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1"/>
  <sheetViews>
    <sheetView topLeftCell="A16" workbookViewId="0">
      <selection activeCell="B6" sqref="B6"/>
    </sheetView>
  </sheetViews>
  <sheetFormatPr defaultRowHeight="15" x14ac:dyDescent="0.25"/>
  <cols>
    <col min="1" max="1" width="18" customWidth="1"/>
    <col min="2" max="2" width="11.7109375" customWidth="1"/>
    <col min="4" max="4" width="14.7109375" customWidth="1"/>
    <col min="5" max="5" width="11" customWidth="1"/>
    <col min="13" max="13" width="22.42578125" customWidth="1"/>
  </cols>
  <sheetData>
    <row r="1" spans="1:17" x14ac:dyDescent="0.25">
      <c r="E1" t="s">
        <v>9</v>
      </c>
      <c r="F1" t="s">
        <v>8</v>
      </c>
      <c r="G1" t="s">
        <v>7</v>
      </c>
      <c r="H1" t="s">
        <v>6</v>
      </c>
      <c r="I1" t="s">
        <v>5</v>
      </c>
      <c r="O1" t="s">
        <v>103</v>
      </c>
      <c r="P1">
        <v>1.25</v>
      </c>
    </row>
    <row r="2" spans="1:17" x14ac:dyDescent="0.25">
      <c r="A2" t="s">
        <v>243</v>
      </c>
      <c r="E2" s="4">
        <v>1500</v>
      </c>
      <c r="O2" t="s">
        <v>171</v>
      </c>
      <c r="P2" t="s">
        <v>172</v>
      </c>
    </row>
    <row r="3" spans="1:17" x14ac:dyDescent="0.25">
      <c r="A3" t="s">
        <v>48</v>
      </c>
      <c r="E3">
        <v>5000</v>
      </c>
    </row>
    <row r="4" spans="1:17" x14ac:dyDescent="0.25">
      <c r="A4" t="s">
        <v>98</v>
      </c>
      <c r="F4">
        <v>150</v>
      </c>
    </row>
    <row r="5" spans="1:17" x14ac:dyDescent="0.25">
      <c r="A5" t="s">
        <v>14</v>
      </c>
      <c r="E5">
        <v>20000</v>
      </c>
      <c r="N5" t="s">
        <v>14</v>
      </c>
      <c r="O5" t="s">
        <v>213</v>
      </c>
    </row>
    <row r="6" spans="1:17" x14ac:dyDescent="0.25">
      <c r="A6" t="s">
        <v>18</v>
      </c>
      <c r="B6" t="s">
        <v>214</v>
      </c>
      <c r="E6">
        <v>7200</v>
      </c>
      <c r="F6">
        <v>5000</v>
      </c>
      <c r="O6" t="s">
        <v>215</v>
      </c>
    </row>
    <row r="7" spans="1:17" x14ac:dyDescent="0.25">
      <c r="A7" t="s">
        <v>217</v>
      </c>
      <c r="E7">
        <v>195</v>
      </c>
    </row>
    <row r="8" spans="1:17" x14ac:dyDescent="0.25">
      <c r="A8" t="s">
        <v>218</v>
      </c>
      <c r="B8" t="s">
        <v>219</v>
      </c>
      <c r="E8">
        <v>525</v>
      </c>
      <c r="F8">
        <v>3000</v>
      </c>
    </row>
    <row r="9" spans="1:17" x14ac:dyDescent="0.25">
      <c r="A9" t="s">
        <v>220</v>
      </c>
      <c r="E9">
        <v>233</v>
      </c>
      <c r="I9">
        <v>79</v>
      </c>
      <c r="O9" t="s">
        <v>227</v>
      </c>
      <c r="Q9" t="s">
        <v>228</v>
      </c>
    </row>
    <row r="10" spans="1:17" x14ac:dyDescent="0.25">
      <c r="A10" t="s">
        <v>221</v>
      </c>
      <c r="B10" t="s">
        <v>223</v>
      </c>
      <c r="E10">
        <v>99</v>
      </c>
      <c r="F10">
        <f>80+60+65+168</f>
        <v>373</v>
      </c>
    </row>
    <row r="11" spans="1:17" x14ac:dyDescent="0.25">
      <c r="A11" t="s">
        <v>222</v>
      </c>
      <c r="B11" t="s">
        <v>226</v>
      </c>
      <c r="E11">
        <v>727</v>
      </c>
      <c r="F11">
        <v>400</v>
      </c>
    </row>
    <row r="12" spans="1:17" x14ac:dyDescent="0.25">
      <c r="A12" t="s">
        <v>224</v>
      </c>
      <c r="E12">
        <v>2092</v>
      </c>
    </row>
    <row r="13" spans="1:17" x14ac:dyDescent="0.25">
      <c r="A13" t="s">
        <v>225</v>
      </c>
      <c r="E13">
        <v>2970</v>
      </c>
    </row>
    <row r="14" spans="1:17" x14ac:dyDescent="0.25">
      <c r="A14" t="s">
        <v>229</v>
      </c>
      <c r="B14" t="s">
        <v>231</v>
      </c>
      <c r="E14">
        <v>155</v>
      </c>
    </row>
    <row r="15" spans="1:17" x14ac:dyDescent="0.25">
      <c r="A15" t="s">
        <v>230</v>
      </c>
      <c r="E15">
        <f>2535+1455</f>
        <v>3990</v>
      </c>
    </row>
    <row r="16" spans="1:17" x14ac:dyDescent="0.25">
      <c r="A16" t="s">
        <v>232</v>
      </c>
      <c r="B16" t="s">
        <v>233</v>
      </c>
      <c r="F16">
        <v>110</v>
      </c>
      <c r="G16">
        <v>230</v>
      </c>
      <c r="O16" t="s">
        <v>244</v>
      </c>
    </row>
    <row r="17" spans="1:10" x14ac:dyDescent="0.25">
      <c r="A17" t="s">
        <v>218</v>
      </c>
      <c r="E17">
        <v>455</v>
      </c>
    </row>
    <row r="18" spans="1:10" x14ac:dyDescent="0.25">
      <c r="A18" t="s">
        <v>52</v>
      </c>
      <c r="E18">
        <v>748</v>
      </c>
      <c r="I18">
        <v>149</v>
      </c>
    </row>
    <row r="19" spans="1:10" x14ac:dyDescent="0.25">
      <c r="A19" t="s">
        <v>234</v>
      </c>
      <c r="E19">
        <v>500</v>
      </c>
      <c r="I19">
        <v>16</v>
      </c>
    </row>
    <row r="20" spans="1:10" x14ac:dyDescent="0.25">
      <c r="A20" t="s">
        <v>235</v>
      </c>
      <c r="E20">
        <v>90</v>
      </c>
      <c r="I20">
        <v>16</v>
      </c>
    </row>
    <row r="21" spans="1:10" x14ac:dyDescent="0.25">
      <c r="A21" t="s">
        <v>15</v>
      </c>
      <c r="E21">
        <v>235</v>
      </c>
    </row>
    <row r="22" spans="1:10" x14ac:dyDescent="0.25">
      <c r="A22" t="s">
        <v>236</v>
      </c>
      <c r="C22" t="s">
        <v>237</v>
      </c>
      <c r="E22">
        <v>170</v>
      </c>
    </row>
    <row r="23" spans="1:10" x14ac:dyDescent="0.25">
      <c r="A23" t="s">
        <v>238</v>
      </c>
      <c r="E23">
        <v>1390</v>
      </c>
    </row>
    <row r="24" spans="1:10" x14ac:dyDescent="0.25">
      <c r="A24" t="s">
        <v>239</v>
      </c>
      <c r="E24">
        <v>99</v>
      </c>
    </row>
    <row r="25" spans="1:10" x14ac:dyDescent="0.25">
      <c r="A25" t="s">
        <v>240</v>
      </c>
      <c r="E25">
        <v>475</v>
      </c>
    </row>
    <row r="28" spans="1:10" x14ac:dyDescent="0.25">
      <c r="A28" t="s">
        <v>241</v>
      </c>
      <c r="C28" t="s">
        <v>291</v>
      </c>
      <c r="D28">
        <v>97662</v>
      </c>
      <c r="E28">
        <v>200000</v>
      </c>
    </row>
    <row r="29" spans="1:10" x14ac:dyDescent="0.25">
      <c r="C29" t="s">
        <v>292</v>
      </c>
      <c r="D29">
        <v>50000</v>
      </c>
    </row>
    <row r="30" spans="1:10" x14ac:dyDescent="0.25">
      <c r="C30" t="s">
        <v>48</v>
      </c>
      <c r="D30">
        <v>50000</v>
      </c>
    </row>
    <row r="31" spans="1:10" x14ac:dyDescent="0.25">
      <c r="E31">
        <f>SUM(E2:E28)</f>
        <v>248848</v>
      </c>
      <c r="F31">
        <f t="shared" ref="F31:I31" si="0">SUM(F3:F25)</f>
        <v>9033</v>
      </c>
      <c r="G31">
        <f t="shared" si="0"/>
        <v>230</v>
      </c>
      <c r="H31">
        <f t="shared" si="0"/>
        <v>0</v>
      </c>
      <c r="I31">
        <f t="shared" si="0"/>
        <v>260</v>
      </c>
      <c r="J31" s="1">
        <f>SUM(E31:I31)</f>
        <v>258371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0"/>
  <sheetViews>
    <sheetView topLeftCell="A22" workbookViewId="0">
      <selection activeCell="O10" sqref="O10"/>
    </sheetView>
  </sheetViews>
  <sheetFormatPr defaultRowHeight="15" x14ac:dyDescent="0.25"/>
  <cols>
    <col min="1" max="1" width="12.28515625" customWidth="1"/>
    <col min="3" max="3" width="6.85546875" customWidth="1"/>
    <col min="4" max="4" width="14.85546875" customWidth="1"/>
    <col min="6" max="6" width="15.28515625" customWidth="1"/>
  </cols>
  <sheetData>
    <row r="1" spans="1:16" x14ac:dyDescent="0.25">
      <c r="E1" t="s">
        <v>9</v>
      </c>
      <c r="F1" t="s">
        <v>8</v>
      </c>
      <c r="G1" t="s">
        <v>7</v>
      </c>
      <c r="H1" t="s">
        <v>6</v>
      </c>
      <c r="I1" t="s">
        <v>5</v>
      </c>
    </row>
    <row r="2" spans="1:16" x14ac:dyDescent="0.25">
      <c r="A2" t="s">
        <v>10</v>
      </c>
      <c r="E2">
        <v>2500</v>
      </c>
      <c r="M2" t="s">
        <v>103</v>
      </c>
      <c r="N2">
        <v>1.25</v>
      </c>
    </row>
    <row r="3" spans="1:16" x14ac:dyDescent="0.25">
      <c r="A3" t="s">
        <v>48</v>
      </c>
      <c r="E3">
        <v>3000</v>
      </c>
      <c r="M3" t="s">
        <v>171</v>
      </c>
      <c r="N3" t="s">
        <v>172</v>
      </c>
      <c r="P3" t="s">
        <v>296</v>
      </c>
    </row>
    <row r="4" spans="1:16" x14ac:dyDescent="0.25">
      <c r="A4" t="s">
        <v>98</v>
      </c>
      <c r="B4" t="s">
        <v>76</v>
      </c>
      <c r="E4">
        <v>150</v>
      </c>
      <c r="F4">
        <v>1500</v>
      </c>
    </row>
    <row r="5" spans="1:16" x14ac:dyDescent="0.25">
      <c r="A5" t="s">
        <v>14</v>
      </c>
      <c r="B5" t="s">
        <v>247</v>
      </c>
      <c r="E5">
        <v>18000</v>
      </c>
      <c r="F5">
        <v>50000</v>
      </c>
    </row>
    <row r="6" spans="1:16" x14ac:dyDescent="0.25">
      <c r="A6" t="s">
        <v>18</v>
      </c>
      <c r="B6" t="s">
        <v>214</v>
      </c>
      <c r="E6">
        <v>7200</v>
      </c>
      <c r="F6">
        <v>5000</v>
      </c>
      <c r="M6" t="s">
        <v>275</v>
      </c>
    </row>
    <row r="7" spans="1:16" x14ac:dyDescent="0.25">
      <c r="A7" t="s">
        <v>245</v>
      </c>
      <c r="E7">
        <v>450</v>
      </c>
      <c r="I7">
        <v>129</v>
      </c>
      <c r="M7" t="s">
        <v>274</v>
      </c>
      <c r="O7" t="s">
        <v>288</v>
      </c>
    </row>
    <row r="8" spans="1:16" x14ac:dyDescent="0.25">
      <c r="A8" t="s">
        <v>246</v>
      </c>
      <c r="E8">
        <v>170</v>
      </c>
      <c r="M8" t="s">
        <v>277</v>
      </c>
      <c r="O8" t="s">
        <v>273</v>
      </c>
    </row>
    <row r="9" spans="1:16" x14ac:dyDescent="0.25">
      <c r="A9" t="s">
        <v>248</v>
      </c>
      <c r="E9">
        <v>370</v>
      </c>
    </row>
    <row r="10" spans="1:16" x14ac:dyDescent="0.25">
      <c r="A10" t="s">
        <v>249</v>
      </c>
      <c r="B10" t="s">
        <v>250</v>
      </c>
      <c r="E10">
        <v>110</v>
      </c>
    </row>
    <row r="11" spans="1:16" x14ac:dyDescent="0.25">
      <c r="A11" t="s">
        <v>251</v>
      </c>
      <c r="B11" t="s">
        <v>252</v>
      </c>
      <c r="C11" t="s">
        <v>253</v>
      </c>
      <c r="E11">
        <v>40</v>
      </c>
      <c r="F11">
        <v>90</v>
      </c>
      <c r="G11">
        <v>75</v>
      </c>
      <c r="M11" t="s">
        <v>281</v>
      </c>
      <c r="O11" t="s">
        <v>282</v>
      </c>
    </row>
    <row r="12" spans="1:16" x14ac:dyDescent="0.25">
      <c r="A12" t="s">
        <v>17</v>
      </c>
      <c r="B12" t="s">
        <v>254</v>
      </c>
      <c r="E12">
        <v>120</v>
      </c>
      <c r="F12">
        <v>300</v>
      </c>
    </row>
    <row r="13" spans="1:16" x14ac:dyDescent="0.25">
      <c r="A13" t="s">
        <v>30</v>
      </c>
      <c r="B13" t="s">
        <v>255</v>
      </c>
      <c r="E13">
        <v>50</v>
      </c>
      <c r="F13">
        <v>240</v>
      </c>
    </row>
    <row r="14" spans="1:16" x14ac:dyDescent="0.25">
      <c r="A14" t="s">
        <v>256</v>
      </c>
      <c r="B14" t="s">
        <v>257</v>
      </c>
      <c r="D14" t="s">
        <v>260</v>
      </c>
      <c r="E14">
        <v>1300</v>
      </c>
      <c r="F14">
        <v>153</v>
      </c>
    </row>
    <row r="15" spans="1:16" x14ac:dyDescent="0.25">
      <c r="A15" t="s">
        <v>258</v>
      </c>
      <c r="B15" t="s">
        <v>259</v>
      </c>
      <c r="E15">
        <v>3500</v>
      </c>
      <c r="F15">
        <v>850</v>
      </c>
      <c r="I15">
        <v>79</v>
      </c>
    </row>
    <row r="16" spans="1:16" x14ac:dyDescent="0.25">
      <c r="A16" t="s">
        <v>261</v>
      </c>
      <c r="B16" t="s">
        <v>262</v>
      </c>
      <c r="E16">
        <v>500</v>
      </c>
      <c r="F16">
        <v>50</v>
      </c>
    </row>
    <row r="17" spans="1:15" x14ac:dyDescent="0.25">
      <c r="A17" t="s">
        <v>267</v>
      </c>
      <c r="B17" t="s">
        <v>263</v>
      </c>
      <c r="E17">
        <f>2010+300</f>
        <v>2310</v>
      </c>
      <c r="M17" t="s">
        <v>265</v>
      </c>
      <c r="O17">
        <v>835000</v>
      </c>
    </row>
    <row r="18" spans="1:15" x14ac:dyDescent="0.25">
      <c r="A18" t="s">
        <v>264</v>
      </c>
      <c r="E18">
        <v>432</v>
      </c>
    </row>
    <row r="19" spans="1:15" x14ac:dyDescent="0.25">
      <c r="A19" t="s">
        <v>30</v>
      </c>
      <c r="B19" t="s">
        <v>87</v>
      </c>
      <c r="E19">
        <v>50</v>
      </c>
      <c r="F19">
        <v>65</v>
      </c>
    </row>
    <row r="20" spans="1:15" x14ac:dyDescent="0.25">
      <c r="A20" t="s">
        <v>266</v>
      </c>
      <c r="E20">
        <v>812</v>
      </c>
    </row>
    <row r="21" spans="1:15" x14ac:dyDescent="0.25">
      <c r="A21" t="s">
        <v>264</v>
      </c>
      <c r="D21" t="s">
        <v>268</v>
      </c>
      <c r="E21">
        <v>317</v>
      </c>
    </row>
    <row r="22" spans="1:15" x14ac:dyDescent="0.25">
      <c r="A22" t="s">
        <v>269</v>
      </c>
      <c r="E22">
        <v>447</v>
      </c>
      <c r="I22">
        <v>149</v>
      </c>
    </row>
    <row r="23" spans="1:15" x14ac:dyDescent="0.25">
      <c r="A23" t="s">
        <v>270</v>
      </c>
      <c r="E23">
        <v>125</v>
      </c>
    </row>
    <row r="24" spans="1:15" x14ac:dyDescent="0.25">
      <c r="A24" t="s">
        <v>271</v>
      </c>
      <c r="B24" t="s">
        <v>272</v>
      </c>
      <c r="E24">
        <v>1650</v>
      </c>
      <c r="F24">
        <v>100</v>
      </c>
    </row>
    <row r="25" spans="1:15" x14ac:dyDescent="0.25">
      <c r="A25" t="s">
        <v>276</v>
      </c>
      <c r="B25" t="s">
        <v>52</v>
      </c>
      <c r="E25">
        <f>75+40</f>
        <v>115</v>
      </c>
      <c r="F25">
        <v>680</v>
      </c>
    </row>
    <row r="26" spans="1:15" x14ac:dyDescent="0.25">
      <c r="A26" t="s">
        <v>278</v>
      </c>
      <c r="E26">
        <v>333</v>
      </c>
    </row>
    <row r="27" spans="1:15" x14ac:dyDescent="0.25">
      <c r="A27" t="s">
        <v>279</v>
      </c>
      <c r="E27">
        <v>65</v>
      </c>
    </row>
    <row r="30" spans="1:15" x14ac:dyDescent="0.25">
      <c r="E30">
        <f>SUM(E2:E29)</f>
        <v>44116</v>
      </c>
      <c r="F30">
        <f t="shared" ref="F30:I30" si="0">SUM(F2:F29)</f>
        <v>59028</v>
      </c>
      <c r="G30">
        <f t="shared" si="0"/>
        <v>75</v>
      </c>
      <c r="H30">
        <f t="shared" si="0"/>
        <v>0</v>
      </c>
      <c r="I30">
        <f t="shared" si="0"/>
        <v>357</v>
      </c>
      <c r="J30" s="1">
        <f>SUM(E30:I30)</f>
        <v>103576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2"/>
  <sheetViews>
    <sheetView workbookViewId="0">
      <selection activeCell="F5" sqref="F5"/>
    </sheetView>
  </sheetViews>
  <sheetFormatPr defaultRowHeight="15" x14ac:dyDescent="0.25"/>
  <cols>
    <col min="1" max="1" width="12.7109375" customWidth="1"/>
    <col min="2" max="2" width="13.42578125" customWidth="1"/>
    <col min="7" max="7" width="13.5703125" customWidth="1"/>
  </cols>
  <sheetData>
    <row r="1" spans="1:16" x14ac:dyDescent="0.25">
      <c r="F1" t="s">
        <v>9</v>
      </c>
      <c r="G1" t="s">
        <v>8</v>
      </c>
      <c r="H1" t="s">
        <v>7</v>
      </c>
      <c r="I1" t="s">
        <v>6</v>
      </c>
      <c r="J1" t="s">
        <v>5</v>
      </c>
    </row>
    <row r="2" spans="1:16" x14ac:dyDescent="0.25">
      <c r="A2" t="s">
        <v>10</v>
      </c>
      <c r="F2">
        <v>2500</v>
      </c>
      <c r="O2" t="s">
        <v>317</v>
      </c>
    </row>
    <row r="3" spans="1:16" x14ac:dyDescent="0.25">
      <c r="A3" t="s">
        <v>48</v>
      </c>
      <c r="F3">
        <v>3000</v>
      </c>
      <c r="O3" t="s">
        <v>103</v>
      </c>
      <c r="P3">
        <v>1.25</v>
      </c>
    </row>
    <row r="4" spans="1:16" x14ac:dyDescent="0.25">
      <c r="A4" t="s">
        <v>98</v>
      </c>
      <c r="B4" t="s">
        <v>76</v>
      </c>
      <c r="F4">
        <v>150</v>
      </c>
      <c r="G4">
        <v>1200</v>
      </c>
      <c r="N4" t="s">
        <v>319</v>
      </c>
      <c r="O4" t="s">
        <v>298</v>
      </c>
      <c r="P4" t="s">
        <v>299</v>
      </c>
    </row>
    <row r="5" spans="1:16" x14ac:dyDescent="0.25">
      <c r="A5" t="s">
        <v>14</v>
      </c>
      <c r="B5" t="s">
        <v>280</v>
      </c>
      <c r="F5">
        <v>17000</v>
      </c>
      <c r="G5">
        <v>16000</v>
      </c>
    </row>
    <row r="6" spans="1:16" x14ac:dyDescent="0.25">
      <c r="A6" t="s">
        <v>18</v>
      </c>
      <c r="B6" t="s">
        <v>214</v>
      </c>
      <c r="F6">
        <v>7200</v>
      </c>
      <c r="G6">
        <v>5000</v>
      </c>
    </row>
    <row r="7" spans="1:16" x14ac:dyDescent="0.25">
      <c r="A7" t="s">
        <v>283</v>
      </c>
      <c r="F7">
        <v>200</v>
      </c>
    </row>
    <row r="8" spans="1:16" x14ac:dyDescent="0.25">
      <c r="A8" t="s">
        <v>285</v>
      </c>
      <c r="B8" t="s">
        <v>286</v>
      </c>
      <c r="C8" t="s">
        <v>87</v>
      </c>
      <c r="D8" t="s">
        <v>287</v>
      </c>
      <c r="F8">
        <f>70+40+45</f>
        <v>155</v>
      </c>
    </row>
    <row r="9" spans="1:16" x14ac:dyDescent="0.25">
      <c r="A9" t="s">
        <v>284</v>
      </c>
      <c r="F9">
        <v>50</v>
      </c>
    </row>
    <row r="10" spans="1:16" x14ac:dyDescent="0.25">
      <c r="A10" t="s">
        <v>289</v>
      </c>
      <c r="F10">
        <v>1710</v>
      </c>
      <c r="G10">
        <v>7500</v>
      </c>
    </row>
    <row r="11" spans="1:16" x14ac:dyDescent="0.25">
      <c r="A11" t="s">
        <v>297</v>
      </c>
      <c r="F11">
        <v>242</v>
      </c>
    </row>
    <row r="12" spans="1:16" x14ac:dyDescent="0.25">
      <c r="A12" t="s">
        <v>300</v>
      </c>
      <c r="B12" t="s">
        <v>301</v>
      </c>
      <c r="C12" t="s">
        <v>87</v>
      </c>
      <c r="F12">
        <v>45</v>
      </c>
      <c r="G12">
        <v>75</v>
      </c>
      <c r="H12">
        <v>50</v>
      </c>
      <c r="J12">
        <v>149</v>
      </c>
    </row>
    <row r="13" spans="1:16" x14ac:dyDescent="0.25">
      <c r="A13" t="s">
        <v>302</v>
      </c>
      <c r="F13">
        <v>100</v>
      </c>
    </row>
    <row r="14" spans="1:16" x14ac:dyDescent="0.25">
      <c r="A14" t="s">
        <v>303</v>
      </c>
      <c r="F14">
        <v>260</v>
      </c>
    </row>
    <row r="15" spans="1:16" x14ac:dyDescent="0.25">
      <c r="A15" t="s">
        <v>304</v>
      </c>
      <c r="B15" t="s">
        <v>305</v>
      </c>
      <c r="F15">
        <v>250</v>
      </c>
      <c r="G15">
        <v>30</v>
      </c>
    </row>
    <row r="16" spans="1:16" x14ac:dyDescent="0.25">
      <c r="A16" t="s">
        <v>314</v>
      </c>
      <c r="F16">
        <v>902</v>
      </c>
    </row>
    <row r="17" spans="1:16" x14ac:dyDescent="0.25">
      <c r="A17" t="s">
        <v>251</v>
      </c>
      <c r="B17" t="s">
        <v>75</v>
      </c>
      <c r="F17">
        <v>80</v>
      </c>
      <c r="G17">
        <v>60</v>
      </c>
    </row>
    <row r="18" spans="1:16" x14ac:dyDescent="0.25">
      <c r="A18" t="s">
        <v>306</v>
      </c>
      <c r="F18">
        <v>2550</v>
      </c>
    </row>
    <row r="19" spans="1:16" x14ac:dyDescent="0.25">
      <c r="A19" t="s">
        <v>285</v>
      </c>
      <c r="B19" t="s">
        <v>195</v>
      </c>
      <c r="F19">
        <v>60</v>
      </c>
      <c r="G19">
        <v>162</v>
      </c>
    </row>
    <row r="20" spans="1:16" x14ac:dyDescent="0.25">
      <c r="A20" t="s">
        <v>302</v>
      </c>
      <c r="F20">
        <v>50</v>
      </c>
    </row>
    <row r="21" spans="1:16" x14ac:dyDescent="0.25">
      <c r="A21" t="s">
        <v>307</v>
      </c>
      <c r="F21">
        <v>175</v>
      </c>
      <c r="G21">
        <v>261</v>
      </c>
    </row>
    <row r="22" spans="1:16" x14ac:dyDescent="0.25">
      <c r="A22" t="s">
        <v>309</v>
      </c>
      <c r="F22">
        <v>15198</v>
      </c>
      <c r="H22">
        <v>230</v>
      </c>
    </row>
    <row r="23" spans="1:16" x14ac:dyDescent="0.25">
      <c r="A23" t="s">
        <v>310</v>
      </c>
      <c r="F23">
        <v>680</v>
      </c>
      <c r="G23">
        <v>204</v>
      </c>
    </row>
    <row r="24" spans="1:16" x14ac:dyDescent="0.25">
      <c r="A24" t="s">
        <v>182</v>
      </c>
      <c r="F24">
        <v>220</v>
      </c>
    </row>
    <row r="25" spans="1:16" x14ac:dyDescent="0.25">
      <c r="A25" t="s">
        <v>73</v>
      </c>
      <c r="B25" t="s">
        <v>315</v>
      </c>
      <c r="F25">
        <v>528</v>
      </c>
      <c r="G25">
        <v>702</v>
      </c>
    </row>
    <row r="26" spans="1:16" x14ac:dyDescent="0.25">
      <c r="A26" t="s">
        <v>311</v>
      </c>
      <c r="B26" t="s">
        <v>313</v>
      </c>
      <c r="C26" t="s">
        <v>154</v>
      </c>
      <c r="E26" t="s">
        <v>312</v>
      </c>
      <c r="F26">
        <v>100</v>
      </c>
      <c r="G26">
        <v>20</v>
      </c>
      <c r="H26">
        <v>120</v>
      </c>
    </row>
    <row r="27" spans="1:16" x14ac:dyDescent="0.25">
      <c r="A27" t="s">
        <v>301</v>
      </c>
      <c r="B27" t="s">
        <v>316</v>
      </c>
      <c r="F27">
        <v>75</v>
      </c>
      <c r="G27">
        <v>20</v>
      </c>
    </row>
    <row r="28" spans="1:16" x14ac:dyDescent="0.25">
      <c r="A28" t="s">
        <v>320</v>
      </c>
      <c r="F28">
        <v>77</v>
      </c>
      <c r="O28" t="s">
        <v>318</v>
      </c>
    </row>
    <row r="29" spans="1:16" x14ac:dyDescent="0.25">
      <c r="O29" t="s">
        <v>308</v>
      </c>
      <c r="P29" t="s">
        <v>299</v>
      </c>
    </row>
    <row r="32" spans="1:16" x14ac:dyDescent="0.25">
      <c r="F32">
        <f>SUM(F2:F31)</f>
        <v>53557</v>
      </c>
      <c r="G32">
        <f t="shared" ref="G32:H32" si="0">SUM(G2:G31)</f>
        <v>31234</v>
      </c>
      <c r="H32">
        <f t="shared" si="0"/>
        <v>400</v>
      </c>
      <c r="I32">
        <f t="shared" ref="I32" si="1">SUM(I2:I31)</f>
        <v>0</v>
      </c>
      <c r="J32">
        <f t="shared" ref="J32" si="2">SUM(J2:J31)</f>
        <v>149</v>
      </c>
      <c r="K32" s="1">
        <f>SUM(F32:J32)</f>
        <v>85340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March</vt:lpstr>
      <vt:lpstr>April</vt:lpstr>
      <vt:lpstr>May</vt:lpstr>
      <vt:lpstr>june</vt:lpstr>
      <vt:lpstr>July</vt:lpstr>
      <vt:lpstr>August</vt:lpstr>
      <vt:lpstr>Sept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Bhore, Rupali</dc:creator>
  <cp:lastModifiedBy>Rupali Bhore</cp:lastModifiedBy>
  <dcterms:created xsi:type="dcterms:W3CDTF">2021-01-03T13:07:35Z</dcterms:created>
  <dcterms:modified xsi:type="dcterms:W3CDTF">2025-08-12T07:33:24Z</dcterms:modified>
</cp:coreProperties>
</file>