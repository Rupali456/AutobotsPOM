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palibh\Desktop\PS\Expense\"/>
    </mc:Choice>
  </mc:AlternateContent>
  <xr:revisionPtr revIDLastSave="0" documentId="13_ncr:1_{6B083347-590A-4B73-887B-CAED18DC1119}" xr6:coauthVersionLast="47" xr6:coauthVersionMax="47" xr10:uidLastSave="{00000000-0000-0000-0000-000000000000}"/>
  <bookViews>
    <workbookView xWindow="-120" yWindow="-120" windowWidth="19440" windowHeight="15000" firstSheet="4" activeTab="12" xr2:uid="{61B23DC0-729F-4CCF-B02D-82F9BB541239}"/>
  </bookViews>
  <sheets>
    <sheet name="Jan" sheetId="1" r:id="rId1"/>
    <sheet name="Belgium" sheetId="2" r:id="rId2"/>
    <sheet name="Feb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" sheetId="10" r:id="rId10"/>
    <sheet name="Oct" sheetId="11" r:id="rId11"/>
    <sheet name="Nov" sheetId="12" r:id="rId12"/>
    <sheet name="Dec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3" l="1"/>
  <c r="I28" i="13"/>
  <c r="I32" i="13"/>
  <c r="I11" i="12"/>
  <c r="E30" i="12"/>
  <c r="D32" i="13"/>
  <c r="E32" i="13"/>
  <c r="K32" i="13"/>
  <c r="M32" i="13"/>
  <c r="B32" i="13"/>
  <c r="P13" i="13"/>
  <c r="I31" i="12"/>
  <c r="G20" i="12"/>
  <c r="E20" i="12"/>
  <c r="E19" i="12"/>
  <c r="G15" i="12"/>
  <c r="G31" i="12" s="1"/>
  <c r="G31" i="11"/>
  <c r="O10" i="12"/>
  <c r="O13" i="12" s="1"/>
  <c r="D31" i="12"/>
  <c r="E31" i="12"/>
  <c r="K31" i="12"/>
  <c r="M31" i="12"/>
  <c r="B31" i="12"/>
  <c r="G17" i="11"/>
  <c r="G34" i="11"/>
  <c r="G32" i="11" s="1"/>
  <c r="G31" i="10"/>
  <c r="G32" i="10"/>
  <c r="D32" i="11"/>
  <c r="E32" i="11"/>
  <c r="I32" i="11"/>
  <c r="K32" i="11"/>
  <c r="M32" i="11"/>
  <c r="B32" i="11"/>
  <c r="O12" i="11"/>
  <c r="O13" i="10"/>
  <c r="K5" i="10"/>
  <c r="I3" i="10"/>
  <c r="B31" i="10"/>
  <c r="D31" i="10"/>
  <c r="E31" i="10"/>
  <c r="I31" i="10"/>
  <c r="K31" i="10"/>
  <c r="M31" i="10"/>
  <c r="G28" i="9"/>
  <c r="I19" i="9"/>
  <c r="I21" i="9"/>
  <c r="G9" i="9"/>
  <c r="E6" i="9"/>
  <c r="D10" i="9"/>
  <c r="G32" i="9"/>
  <c r="E27" i="8"/>
  <c r="E32" i="8" s="1"/>
  <c r="E28" i="8"/>
  <c r="D32" i="9"/>
  <c r="E32" i="9"/>
  <c r="I32" i="9"/>
  <c r="K32" i="9"/>
  <c r="M32" i="9"/>
  <c r="B32" i="9"/>
  <c r="G34" i="8"/>
  <c r="G32" i="8" s="1"/>
  <c r="D32" i="8"/>
  <c r="I32" i="8"/>
  <c r="K32" i="8"/>
  <c r="M32" i="8"/>
  <c r="B32" i="8"/>
  <c r="I10" i="7"/>
  <c r="G12" i="7"/>
  <c r="G11" i="7"/>
  <c r="G33" i="7" s="1"/>
  <c r="G31" i="7" s="1"/>
  <c r="B31" i="7"/>
  <c r="D31" i="7"/>
  <c r="E31" i="7"/>
  <c r="I31" i="7"/>
  <c r="K31" i="7"/>
  <c r="M31" i="7"/>
  <c r="G20" i="6"/>
  <c r="G32" i="6" s="1"/>
  <c r="M32" i="6"/>
  <c r="E32" i="6"/>
  <c r="B32" i="6"/>
  <c r="D32" i="6"/>
  <c r="I32" i="6"/>
  <c r="K32" i="6"/>
  <c r="L32" i="6"/>
  <c r="G31" i="5"/>
  <c r="B31" i="5"/>
  <c r="D31" i="5"/>
  <c r="E31" i="5"/>
  <c r="I31" i="5"/>
  <c r="K31" i="5"/>
  <c r="M31" i="5"/>
  <c r="M33" i="4"/>
  <c r="E20" i="4"/>
  <c r="E21" i="4"/>
  <c r="G33" i="4"/>
  <c r="I33" i="4"/>
  <c r="B33" i="4"/>
  <c r="D33" i="4"/>
  <c r="G10" i="3"/>
  <c r="G31" i="3" s="1"/>
  <c r="M31" i="3"/>
  <c r="B31" i="3"/>
  <c r="D31" i="3"/>
  <c r="E31" i="3"/>
  <c r="I31" i="3"/>
  <c r="K31" i="3"/>
  <c r="B18" i="2"/>
  <c r="G12" i="1"/>
  <c r="G32" i="1" s="1"/>
  <c r="B10" i="2"/>
  <c r="I11" i="1"/>
  <c r="B4" i="2"/>
  <c r="E3" i="1"/>
  <c r="E4" i="1"/>
  <c r="E2" i="1"/>
  <c r="E32" i="1" s="1"/>
  <c r="M32" i="1"/>
  <c r="B32" i="1"/>
  <c r="D32" i="1"/>
  <c r="I32" i="1"/>
  <c r="K32" i="1"/>
  <c r="P12" i="1"/>
  <c r="P13" i="1" s="1"/>
  <c r="N32" i="13" l="1"/>
  <c r="N31" i="12"/>
  <c r="N32" i="11"/>
  <c r="N31" i="10"/>
  <c r="N32" i="8"/>
  <c r="N31" i="7"/>
  <c r="N32" i="6"/>
  <c r="N31" i="5"/>
  <c r="E33" i="4"/>
  <c r="N33" i="4" s="1"/>
  <c r="N31" i="3"/>
  <c r="N32" i="1"/>
  <c r="K33" i="4"/>
  <c r="N32" i="9"/>
</calcChain>
</file>

<file path=xl/sharedStrings.xml><?xml version="1.0" encoding="utf-8"?>
<sst xmlns="http://schemas.openxmlformats.org/spreadsheetml/2006/main" count="765" uniqueCount="417">
  <si>
    <t>Investments</t>
  </si>
  <si>
    <t>Monthly Emi</t>
  </si>
  <si>
    <t>petrol/transport</t>
  </si>
  <si>
    <t>Food/glosarry/home/guest</t>
  </si>
  <si>
    <t>shopping/outing</t>
  </si>
  <si>
    <t>Other</t>
  </si>
  <si>
    <t>Personal expense</t>
  </si>
  <si>
    <t>rent</t>
  </si>
  <si>
    <t xml:space="preserve"> aai</t>
  </si>
  <si>
    <t>: 50K</t>
  </si>
  <si>
    <t xml:space="preserve">remaining </t>
  </si>
  <si>
    <t>yogesh</t>
  </si>
  <si>
    <t>manali</t>
  </si>
  <si>
    <t>total:</t>
  </si>
  <si>
    <t>mutual fund</t>
  </si>
  <si>
    <t>LIC</t>
  </si>
  <si>
    <t>PPF</t>
  </si>
  <si>
    <t>sangita mavshi</t>
  </si>
  <si>
    <t>paper bill</t>
  </si>
  <si>
    <t>vaishali mavshi</t>
  </si>
  <si>
    <t>bharti mavshi</t>
  </si>
  <si>
    <t>3 BHK</t>
  </si>
  <si>
    <t>aai</t>
  </si>
  <si>
    <t>flight</t>
  </si>
  <si>
    <t>travel insurance</t>
  </si>
  <si>
    <t>straberry</t>
  </si>
  <si>
    <t>visa photos</t>
  </si>
  <si>
    <t>papancha bday dinner</t>
  </si>
  <si>
    <t>cake</t>
  </si>
  <si>
    <t>massage for dad</t>
  </si>
  <si>
    <t>visa processing fees</t>
  </si>
  <si>
    <t>visa</t>
  </si>
  <si>
    <t>visa office to home</t>
  </si>
  <si>
    <t>printout at visa office</t>
  </si>
  <si>
    <t>bhaji</t>
  </si>
  <si>
    <t>scarfs, maflar, handgloves and cap</t>
  </si>
  <si>
    <t>panipuri</t>
  </si>
  <si>
    <t>tata aig refund</t>
  </si>
  <si>
    <t>thermal</t>
  </si>
  <si>
    <t>sweatshirt, jogger, tshirt</t>
  </si>
  <si>
    <t>cord set</t>
  </si>
  <si>
    <t>lather jacket+pant</t>
  </si>
  <si>
    <t>boot, stakings,cardigum</t>
  </si>
  <si>
    <t xml:space="preserve">fruits </t>
  </si>
  <si>
    <t>west bag</t>
  </si>
  <si>
    <t>bhaji+fruits</t>
  </si>
  <si>
    <t>shahala</t>
  </si>
  <si>
    <t>prega news and cadbury</t>
  </si>
  <si>
    <t>forex</t>
  </si>
  <si>
    <t>movie walavi</t>
  </si>
  <si>
    <t>phoenix mall</t>
  </si>
  <si>
    <t>urban clap</t>
  </si>
  <si>
    <t>lether jacjet</t>
  </si>
  <si>
    <t>jio</t>
  </si>
  <si>
    <t>international roaming</t>
  </si>
  <si>
    <t>jio recharge</t>
  </si>
  <si>
    <t>antwerp to paris</t>
  </si>
  <si>
    <t>actual europe expense</t>
  </si>
  <si>
    <t>RD</t>
  </si>
  <si>
    <t>Mutual:90K</t>
  </si>
  <si>
    <t>thepla+finger cake</t>
  </si>
  <si>
    <t>bakarwadi</t>
  </si>
  <si>
    <t>khakra cream roll</t>
  </si>
  <si>
    <t>bhaji+salad</t>
  </si>
  <si>
    <t>RD: 4K</t>
  </si>
  <si>
    <t>mumbai to pune</t>
  </si>
  <si>
    <t>karachi biscuits</t>
  </si>
  <si>
    <t>girnar green tea</t>
  </si>
  <si>
    <t>chikku</t>
  </si>
  <si>
    <t>eye liner+</t>
  </si>
  <si>
    <t>moiserriser nyka</t>
  </si>
  <si>
    <t>besan</t>
  </si>
  <si>
    <t>khava+dudh+mug dal+bhaji</t>
  </si>
  <si>
    <t>tomato</t>
  </si>
  <si>
    <t>flower bookey for yogi</t>
  </si>
  <si>
    <t>apeksha bday: garlic bread,cake</t>
  </si>
  <si>
    <t xml:space="preserve"> </t>
  </si>
  <si>
    <t>parking phoenics</t>
  </si>
  <si>
    <t>kumar pacific</t>
  </si>
  <si>
    <t>pappa dada pen</t>
  </si>
  <si>
    <t>Vi</t>
  </si>
  <si>
    <t>chole bhature at phoenics</t>
  </si>
  <si>
    <t>kapdi pishvi</t>
  </si>
  <si>
    <t>draksha</t>
  </si>
  <si>
    <t>urban company</t>
  </si>
  <si>
    <t>upper to laxmi narayan</t>
  </si>
  <si>
    <t>swargate to upper</t>
  </si>
  <si>
    <t>surali vadi</t>
  </si>
  <si>
    <t>mastani</t>
  </si>
  <si>
    <t>RD: 8K</t>
  </si>
  <si>
    <t>Mutual:96K</t>
  </si>
  <si>
    <t xml:space="preserve"> Grossary </t>
  </si>
  <si>
    <t>yogesh paid 26K</t>
  </si>
  <si>
    <t>10K</t>
  </si>
  <si>
    <t>30K</t>
  </si>
  <si>
    <t xml:space="preserve">leave encash </t>
  </si>
  <si>
    <t>20K</t>
  </si>
  <si>
    <t xml:space="preserve">VP </t>
  </si>
  <si>
    <t xml:space="preserve">forex </t>
  </si>
  <si>
    <t>41K</t>
  </si>
  <si>
    <t>(480 euro cash)</t>
  </si>
  <si>
    <t>(480 card ans 272 remaining)</t>
  </si>
  <si>
    <t>Mutual:102K</t>
  </si>
  <si>
    <t>Saree for aai for anniversary</t>
  </si>
  <si>
    <t>saree for me</t>
  </si>
  <si>
    <t>hair cut</t>
  </si>
  <si>
    <t>masala pav</t>
  </si>
  <si>
    <t xml:space="preserve">belgium </t>
  </si>
  <si>
    <t>12K</t>
  </si>
  <si>
    <t>ice cream</t>
  </si>
  <si>
    <t>vadapv</t>
  </si>
  <si>
    <t>chappal</t>
  </si>
  <si>
    <t>jyotish class</t>
  </si>
  <si>
    <t>fruits</t>
  </si>
  <si>
    <t>pizza with yogesh</t>
  </si>
  <si>
    <t>harpic, nivia,shampoo</t>
  </si>
  <si>
    <t>handwash</t>
  </si>
  <si>
    <t>cake contry in office</t>
  </si>
  <si>
    <t xml:space="preserve">                                                         </t>
  </si>
  <si>
    <t xml:space="preserve">Yogesh Remaining </t>
  </si>
  <si>
    <t>encashmanet done</t>
  </si>
  <si>
    <t>mummynche pn clear ahet</t>
  </si>
  <si>
    <t>Mutual:109K</t>
  </si>
  <si>
    <t>RD: 12K</t>
  </si>
  <si>
    <t>Yogesh gave this month</t>
  </si>
  <si>
    <t>actual used 42000</t>
  </si>
  <si>
    <t>udemy course</t>
  </si>
  <si>
    <t>firodiya</t>
  </si>
  <si>
    <t>Mangoes</t>
  </si>
  <si>
    <t>Urban company</t>
  </si>
  <si>
    <t>coffee with rajani</t>
  </si>
  <si>
    <t>swimming class</t>
  </si>
  <si>
    <t>dry fit tshirt</t>
  </si>
  <si>
    <t>kokam sarbat</t>
  </si>
  <si>
    <t>khava ani paneer</t>
  </si>
  <si>
    <t>mangoes</t>
  </si>
  <si>
    <t>aai jio recharge</t>
  </si>
  <si>
    <t>(480 euro cash done)</t>
  </si>
  <si>
    <t>ice cream for teju tai</t>
  </si>
  <si>
    <t>Office food card top up</t>
  </si>
  <si>
    <t>mehendi</t>
  </si>
  <si>
    <t xml:space="preserve">ice cream for me, rutuja </t>
  </si>
  <si>
    <t>team bound activity</t>
  </si>
  <si>
    <t>pizza at hemlata</t>
  </si>
  <si>
    <t>potato wadges at SGS mall</t>
  </si>
  <si>
    <t>parking</t>
  </si>
  <si>
    <t>vada pavche pav</t>
  </si>
  <si>
    <t>kalingad</t>
  </si>
  <si>
    <t>NPS</t>
  </si>
  <si>
    <t>Chocolates for office</t>
  </si>
  <si>
    <t>Coriantenes resort</t>
  </si>
  <si>
    <t>coffee with surbhi and Sonam</t>
  </si>
  <si>
    <t>ambe</t>
  </si>
  <si>
    <t>vi</t>
  </si>
  <si>
    <t>nachani papad</t>
  </si>
  <si>
    <t>kharbuj</t>
  </si>
  <si>
    <t>coffee with colleagues</t>
  </si>
  <si>
    <t>lipstick</t>
  </si>
  <si>
    <t xml:space="preserve">ice cream </t>
  </si>
  <si>
    <t>snacks at ruby, ajinkya</t>
  </si>
  <si>
    <t>Mutual:116K</t>
  </si>
  <si>
    <t>RD: 16K</t>
  </si>
  <si>
    <t>sunita mavshi</t>
  </si>
  <si>
    <t>swimming</t>
  </si>
  <si>
    <t>misal with sumit</t>
  </si>
  <si>
    <t>dalimba</t>
  </si>
  <si>
    <t>har wale kaka</t>
  </si>
  <si>
    <t>parlor</t>
  </si>
  <si>
    <t>dinner with yogi and mummy</t>
  </si>
  <si>
    <t>gold kangan</t>
  </si>
  <si>
    <t xml:space="preserve">bhaji </t>
  </si>
  <si>
    <t>shalala</t>
  </si>
  <si>
    <t>wet n joy</t>
  </si>
  <si>
    <t>karekar software</t>
  </si>
  <si>
    <t>naral paneer</t>
  </si>
  <si>
    <t>NPS: 14K</t>
  </si>
  <si>
    <t>alu bhujia+karachi</t>
  </si>
  <si>
    <t>biscuits, ice cream</t>
  </si>
  <si>
    <t>ragda for yogi</t>
  </si>
  <si>
    <t>jarbera</t>
  </si>
  <si>
    <t>PS2 movie</t>
  </si>
  <si>
    <t>yogi lended</t>
  </si>
  <si>
    <t>KP book</t>
  </si>
  <si>
    <t>paneer</t>
  </si>
  <si>
    <t>naral</t>
  </si>
  <si>
    <t>swimming competition</t>
  </si>
  <si>
    <t>registration</t>
  </si>
  <si>
    <t>Medicines</t>
  </si>
  <si>
    <t>khushi dress</t>
  </si>
  <si>
    <t>IB 71</t>
  </si>
  <si>
    <t>pizza party for shravu</t>
  </si>
  <si>
    <t>natak with tai</t>
  </si>
  <si>
    <t>yogesh bandi</t>
  </si>
  <si>
    <t>Mutual:123K</t>
  </si>
  <si>
    <t>RD: 20K</t>
  </si>
  <si>
    <t>yogi</t>
  </si>
  <si>
    <t>Lended</t>
  </si>
  <si>
    <t>panties for me</t>
  </si>
  <si>
    <t>mop</t>
  </si>
  <si>
    <t>NPS: 30K</t>
  </si>
  <si>
    <t>bhel+wafers</t>
  </si>
  <si>
    <t>ice cream for apeksha</t>
  </si>
  <si>
    <t>yogi gave 12K back</t>
  </si>
  <si>
    <t>cake contri</t>
  </si>
  <si>
    <t>karachi biscuits and shrikhand golya</t>
  </si>
  <si>
    <t>flowers</t>
  </si>
  <si>
    <t>sabudana papadi</t>
  </si>
  <si>
    <t xml:space="preserve">UC </t>
  </si>
  <si>
    <t>asawri shadi contry</t>
  </si>
  <si>
    <t>38 krushna villa</t>
  </si>
  <si>
    <t>yogi gave me 3K</t>
  </si>
  <si>
    <t xml:space="preserve">jio </t>
  </si>
  <si>
    <t>sun screen+ Nykaa</t>
  </si>
  <si>
    <t>lip balm+toner</t>
  </si>
  <si>
    <t>NPS: 50K</t>
  </si>
  <si>
    <t>RD: 24K</t>
  </si>
  <si>
    <t>yogi carpenter</t>
  </si>
  <si>
    <t>tiffin box</t>
  </si>
  <si>
    <t>biryani</t>
  </si>
  <si>
    <t>UC</t>
  </si>
  <si>
    <t>yogi gave 3.5K</t>
  </si>
  <si>
    <t>mavshi 2.5K</t>
  </si>
  <si>
    <t>mavshi 4K</t>
  </si>
  <si>
    <t>dalimb</t>
  </si>
  <si>
    <t>tata capital</t>
  </si>
  <si>
    <t>change of interest rate</t>
  </si>
  <si>
    <t>coffee</t>
  </si>
  <si>
    <t>umbrella</t>
  </si>
  <si>
    <t>bday contri</t>
  </si>
  <si>
    <t>jambhul</t>
  </si>
  <si>
    <t>oranges</t>
  </si>
  <si>
    <t>corn+lemon</t>
  </si>
  <si>
    <t>tshirt for sumit/archana</t>
  </si>
  <si>
    <t>movie with aai</t>
  </si>
  <si>
    <t>wire protection</t>
  </si>
  <si>
    <t>yogesh bike</t>
  </si>
  <si>
    <t>ITR fees</t>
  </si>
  <si>
    <t>fries</t>
  </si>
  <si>
    <t>anniversary gift</t>
  </si>
  <si>
    <t>dockercourse</t>
  </si>
  <si>
    <t>e cash card</t>
  </si>
  <si>
    <t>wafers+shev</t>
  </si>
  <si>
    <t>khari pattice</t>
  </si>
  <si>
    <t>surali wadi</t>
  </si>
  <si>
    <t>maka</t>
  </si>
  <si>
    <t>khakra</t>
  </si>
  <si>
    <t>medicines</t>
  </si>
  <si>
    <t>chetan farewell</t>
  </si>
  <si>
    <t>SIP top up</t>
  </si>
  <si>
    <t>Mutual:130K</t>
  </si>
  <si>
    <t>RD: 28K</t>
  </si>
  <si>
    <t>ITR Refund</t>
  </si>
  <si>
    <t>50K</t>
  </si>
  <si>
    <t>til +naral</t>
  </si>
  <si>
    <t>cheese bite</t>
  </si>
  <si>
    <t>razor+tissues+deo+cadbury+toothbrush</t>
  </si>
  <si>
    <t>legins+sigar pants</t>
  </si>
  <si>
    <t>Yohesh FD :50K</t>
  </si>
  <si>
    <t>anar</t>
  </si>
  <si>
    <t>house slipper for yogi</t>
  </si>
  <si>
    <t>VI</t>
  </si>
  <si>
    <t>yogi's gift for anniversary</t>
  </si>
  <si>
    <t>finance course</t>
  </si>
  <si>
    <t>wrist watch</t>
  </si>
  <si>
    <t>westen mall</t>
  </si>
  <si>
    <t>lunch with frnds</t>
  </si>
  <si>
    <t>gift collection</t>
  </si>
  <si>
    <t>VP</t>
  </si>
  <si>
    <t>65K</t>
  </si>
  <si>
    <t>table watch</t>
  </si>
  <si>
    <t>roses</t>
  </si>
  <si>
    <t>Cake for anniversary</t>
  </si>
  <si>
    <t>gift wrap</t>
  </si>
  <si>
    <t>Yogi's nps</t>
  </si>
  <si>
    <t>sangita M</t>
  </si>
  <si>
    <t>spects</t>
  </si>
  <si>
    <t>blouse</t>
  </si>
  <si>
    <t>sandwich nepolean</t>
  </si>
  <si>
    <t>clips</t>
  </si>
  <si>
    <t>haircut</t>
  </si>
  <si>
    <t>pavbhaji saman</t>
  </si>
  <si>
    <t>masala puri</t>
  </si>
  <si>
    <t>yogi gave v.mavshi 2K</t>
  </si>
  <si>
    <t>yogesh lended</t>
  </si>
  <si>
    <t>Yogesh didn’t gave 3K</t>
  </si>
  <si>
    <t>dinner with cybagians</t>
  </si>
  <si>
    <t>panipuri+masla puri</t>
  </si>
  <si>
    <t xml:space="preserve">pavbhaji for archana </t>
  </si>
  <si>
    <t xml:space="preserve">cake contry </t>
  </si>
  <si>
    <t>ice cream+ shrikhand</t>
  </si>
  <si>
    <t>lonacha</t>
  </si>
  <si>
    <t>jacket for yogi</t>
  </si>
  <si>
    <t>flying panda</t>
  </si>
  <si>
    <t xml:space="preserve"> maintainance</t>
  </si>
  <si>
    <t>acqua guard</t>
  </si>
  <si>
    <t>preeti bday cake</t>
  </si>
  <si>
    <t>kettle for lembhe</t>
  </si>
  <si>
    <t>contry for lunch with emtec guys</t>
  </si>
  <si>
    <t>jar tar chi goshta</t>
  </si>
  <si>
    <t>sadi for ajji</t>
  </si>
  <si>
    <t>rakshabandhan gift</t>
  </si>
  <si>
    <t>gym vest+ cargo for yogi</t>
  </si>
  <si>
    <t>Mutual:169K</t>
  </si>
  <si>
    <t>pear fruit</t>
  </si>
  <si>
    <t>sonography</t>
  </si>
  <si>
    <t>plum</t>
  </si>
  <si>
    <t>ice cream yogi</t>
  </si>
  <si>
    <t>Mutual:179K</t>
  </si>
  <si>
    <t>RD: 32K</t>
  </si>
  <si>
    <t>yogesh NPS</t>
  </si>
  <si>
    <t>nashik</t>
  </si>
  <si>
    <t>3.9k given by yogi</t>
  </si>
  <si>
    <t>sadi for engagment</t>
  </si>
  <si>
    <t>makeup kit</t>
  </si>
  <si>
    <t>pattice</t>
  </si>
  <si>
    <t>audible</t>
  </si>
  <si>
    <t>hair accessories</t>
  </si>
  <si>
    <t xml:space="preserve"> Grossary /home/guest</t>
  </si>
  <si>
    <t>fula for ganpati</t>
  </si>
  <si>
    <t>night pant for yogi</t>
  </si>
  <si>
    <t>rava  cake</t>
  </si>
  <si>
    <t>har bill</t>
  </si>
  <si>
    <t>misal</t>
  </si>
  <si>
    <t>Mutual:189K</t>
  </si>
  <si>
    <t>RD: 36K</t>
  </si>
  <si>
    <t>pat for pooja</t>
  </si>
  <si>
    <t>makeup</t>
  </si>
  <si>
    <t>dr fees yogi</t>
  </si>
  <si>
    <t>3.9K by yogi</t>
  </si>
  <si>
    <t>cholle bhature</t>
  </si>
  <si>
    <t xml:space="preserve">chakana </t>
  </si>
  <si>
    <t>massage</t>
  </si>
  <si>
    <t>sahahala</t>
  </si>
  <si>
    <t>pestry</t>
  </si>
  <si>
    <t>pestry pran +apeksha</t>
  </si>
  <si>
    <t>perfumes</t>
  </si>
  <si>
    <t>flowers  for home</t>
  </si>
  <si>
    <t>diwali gift for anu anishka</t>
  </si>
  <si>
    <t>maggi+ova+peri peri</t>
  </si>
  <si>
    <t>Dalimb</t>
  </si>
  <si>
    <t>sitafal</t>
  </si>
  <si>
    <t>Idali for me</t>
  </si>
  <si>
    <t>bhel for me</t>
  </si>
  <si>
    <t>gadi cover+headlight+indicator</t>
  </si>
  <si>
    <t>green tea</t>
  </si>
  <si>
    <t>naral+fala</t>
  </si>
  <si>
    <t xml:space="preserve">bike washing </t>
  </si>
  <si>
    <t>eggs and waffers</t>
  </si>
  <si>
    <t>bhaji+khava</t>
  </si>
  <si>
    <t>lunch with apeksha</t>
  </si>
  <si>
    <t>Mutual:199K</t>
  </si>
  <si>
    <t>RD: 40K</t>
  </si>
  <si>
    <t>momos</t>
  </si>
  <si>
    <t>shahala for yogi</t>
  </si>
  <si>
    <t>shev</t>
  </si>
  <si>
    <t>office snack</t>
  </si>
  <si>
    <t>bhaji+keli +Kiwi</t>
  </si>
  <si>
    <t>kurta for yogi</t>
  </si>
  <si>
    <t>food card topup</t>
  </si>
  <si>
    <t>yogesh didn't gave this month</t>
  </si>
  <si>
    <t>lunch at office</t>
  </si>
  <si>
    <t>Nov no contri</t>
  </si>
  <si>
    <t>banana+kiwi</t>
  </si>
  <si>
    <t>blood test + dr fees</t>
  </si>
  <si>
    <t>office contry for diwali</t>
  </si>
  <si>
    <t>pondy shopping</t>
  </si>
  <si>
    <t>pappa dada bday cake</t>
  </si>
  <si>
    <t>masala pav with yogi</t>
  </si>
  <si>
    <t>body lotion nevia</t>
  </si>
  <si>
    <t>vadapaw @ choudharies</t>
  </si>
  <si>
    <t>electric kettle for ashu</t>
  </si>
  <si>
    <t>coffee mug for home</t>
  </si>
  <si>
    <t>yogi return 50K</t>
  </si>
  <si>
    <t>fridge magnet shravu+khushi+home</t>
  </si>
  <si>
    <t xml:space="preserve"> Grossary /festival/guest</t>
  </si>
  <si>
    <t>face moisurizer</t>
  </si>
  <si>
    <t>Diwali blouse stiching</t>
  </si>
  <si>
    <t>not remembered</t>
  </si>
  <si>
    <t>RD: 44K</t>
  </si>
  <si>
    <t xml:space="preserve">aai </t>
  </si>
  <si>
    <t>magnets</t>
  </si>
  <si>
    <t>white top from myntra</t>
  </si>
  <si>
    <t>amazon prime membership</t>
  </si>
  <si>
    <t>debit card annual fee</t>
  </si>
  <si>
    <t>panu's bachlorret party</t>
  </si>
  <si>
    <t>khushi bday dress</t>
  </si>
  <si>
    <t>cake for panu</t>
  </si>
  <si>
    <t>Mutual:208K</t>
  </si>
  <si>
    <t>body moisuriser</t>
  </si>
  <si>
    <t>secret santa home</t>
  </si>
  <si>
    <t>panipuri with shady</t>
  </si>
  <si>
    <t>komal mavshi</t>
  </si>
  <si>
    <t>pondicherry to yogi</t>
  </si>
  <si>
    <t>yogesh didn't gave me 7.5K</t>
  </si>
  <si>
    <t>office</t>
  </si>
  <si>
    <t>Rutuja's weddeing contri</t>
  </si>
  <si>
    <t>Medicine for basti</t>
  </si>
  <si>
    <t>gas cylinder</t>
  </si>
  <si>
    <t>kande lasun</t>
  </si>
  <si>
    <t>rutuja's wedding</t>
  </si>
  <si>
    <t>cybage bash</t>
  </si>
  <si>
    <t>Gul + dink</t>
  </si>
  <si>
    <t>Tup</t>
  </si>
  <si>
    <t>Momos + popcorns at inox</t>
  </si>
  <si>
    <t>haldi dress</t>
  </si>
  <si>
    <t>accessories</t>
  </si>
  <si>
    <t>lunch with appu</t>
  </si>
  <si>
    <t>Sep+Nov+Dec no contri</t>
  </si>
  <si>
    <t>beta scg hormon test</t>
  </si>
  <si>
    <t>going to use in part payment for 3bhk</t>
  </si>
  <si>
    <t>sadi</t>
  </si>
  <si>
    <t>wedding jwellery</t>
  </si>
  <si>
    <t>Ashwagandha+shatawari+rose beauti oil</t>
  </si>
  <si>
    <t>shahala with aai</t>
  </si>
  <si>
    <t>bounce fine lic+ nj</t>
  </si>
  <si>
    <t>part payment (actual 50K is done)</t>
  </si>
  <si>
    <t>cake+gift 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</si>
</sst>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5570776255707764E-2"/>
          <c:y val="6.3426879703794237E-2"/>
          <c:w val="0.9634703196347032"/>
          <c:h val="0.7027311963660271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Jan!$B$32:$K$32</c:f>
              <c:numCache>
                <c:formatCode>General</c:formatCode>
                <c:ptCount val="10"/>
                <c:pt idx="0">
                  <c:v>15040</c:v>
                </c:pt>
                <c:pt idx="2">
                  <c:v>23260</c:v>
                </c:pt>
                <c:pt idx="3">
                  <c:v>1783</c:v>
                </c:pt>
                <c:pt idx="5">
                  <c:v>1515</c:v>
                </c:pt>
                <c:pt idx="7">
                  <c:v>16091</c:v>
                </c:pt>
                <c:pt idx="9">
                  <c:v>121049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F-4A92-AC35-EA4235C693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886604479"/>
        <c:axId val="886616959"/>
        <c:axId val="0"/>
      </c:bar3DChart>
      <c:catAx>
        <c:axId val="886604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16959"/>
        <c:crosses val="autoZero"/>
        <c:auto val="1"/>
        <c:lblAlgn val="ctr"/>
        <c:lblOffset val="100"/>
        <c:noMultiLvlLbl val="0"/>
      </c:catAx>
      <c:valAx>
        <c:axId val="8866169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8660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Feb!$B$31:$M$31</c:f>
              <c:numCache>
                <c:formatCode>General</c:formatCode>
                <c:ptCount val="12"/>
                <c:pt idx="0">
                  <c:v>19040</c:v>
                </c:pt>
                <c:pt idx="2">
                  <c:v>22520</c:v>
                </c:pt>
                <c:pt idx="3">
                  <c:v>2905</c:v>
                </c:pt>
                <c:pt idx="5">
                  <c:v>2694</c:v>
                </c:pt>
                <c:pt idx="7">
                  <c:v>1537</c:v>
                </c:pt>
                <c:pt idx="9">
                  <c:v>2500</c:v>
                </c:pt>
                <c:pt idx="11">
                  <c:v>1305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2-47D6-962F-0EF7BC2C02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887047167"/>
        <c:axId val="887037599"/>
        <c:axId val="0"/>
      </c:bar3DChart>
      <c:catAx>
        <c:axId val="887047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037599"/>
        <c:crosses val="autoZero"/>
        <c:auto val="1"/>
        <c:lblAlgn val="ctr"/>
        <c:lblOffset val="100"/>
        <c:noMultiLvlLbl val="0"/>
      </c:catAx>
      <c:valAx>
        <c:axId val="88703759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8704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March!$B$33:$M$33</c:f>
              <c:numCache>
                <c:formatCode>General</c:formatCode>
                <c:ptCount val="12"/>
                <c:pt idx="0">
                  <c:v>19040</c:v>
                </c:pt>
                <c:pt idx="2">
                  <c:v>2620</c:v>
                </c:pt>
                <c:pt idx="3">
                  <c:v>3254</c:v>
                </c:pt>
                <c:pt idx="5">
                  <c:v>3532</c:v>
                </c:pt>
                <c:pt idx="7">
                  <c:v>3359</c:v>
                </c:pt>
                <c:pt idx="9">
                  <c:v>3301</c:v>
                </c:pt>
                <c:pt idx="11">
                  <c:v>9018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A-4074-98C8-81DE67766D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05208080"/>
        <c:axId val="1305209040"/>
        <c:axId val="0"/>
      </c:bar3DChart>
      <c:catAx>
        <c:axId val="1305208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209040"/>
        <c:crosses val="autoZero"/>
        <c:auto val="1"/>
        <c:lblAlgn val="ctr"/>
        <c:lblOffset val="100"/>
        <c:noMultiLvlLbl val="0"/>
      </c:catAx>
      <c:valAx>
        <c:axId val="13052090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0520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April!$B$31:$M$31</c:f>
              <c:numCache>
                <c:formatCode>General</c:formatCode>
                <c:ptCount val="12"/>
                <c:pt idx="0">
                  <c:v>24040</c:v>
                </c:pt>
                <c:pt idx="2">
                  <c:v>0</c:v>
                </c:pt>
                <c:pt idx="3">
                  <c:v>2264</c:v>
                </c:pt>
                <c:pt idx="5">
                  <c:v>6249</c:v>
                </c:pt>
                <c:pt idx="7">
                  <c:v>7676</c:v>
                </c:pt>
                <c:pt idx="9">
                  <c:v>3000</c:v>
                </c:pt>
                <c:pt idx="11">
                  <c:v>79615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4-463E-A5F0-08A79CF295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05524896"/>
        <c:axId val="1305525376"/>
        <c:axId val="0"/>
      </c:bar3DChart>
      <c:catAx>
        <c:axId val="1305524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525376"/>
        <c:crosses val="autoZero"/>
        <c:auto val="1"/>
        <c:lblAlgn val="ctr"/>
        <c:lblOffset val="100"/>
        <c:noMultiLvlLbl val="0"/>
      </c:catAx>
      <c:valAx>
        <c:axId val="13055253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0552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5021312872975282E-2"/>
          <c:y val="7.6866241101138003E-2"/>
          <c:w val="0.92497868712702469"/>
          <c:h val="0.79779290065073261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May!$B$32:$M$32</c:f>
              <c:numCache>
                <c:formatCode>General</c:formatCode>
                <c:ptCount val="12"/>
                <c:pt idx="0">
                  <c:v>30040</c:v>
                </c:pt>
                <c:pt idx="2">
                  <c:v>55560</c:v>
                </c:pt>
                <c:pt idx="3">
                  <c:v>3978</c:v>
                </c:pt>
                <c:pt idx="5">
                  <c:v>5218</c:v>
                </c:pt>
                <c:pt idx="7">
                  <c:v>8362</c:v>
                </c:pt>
                <c:pt idx="9">
                  <c:v>4730</c:v>
                </c:pt>
                <c:pt idx="10">
                  <c:v>0</c:v>
                </c:pt>
                <c:pt idx="11">
                  <c:v>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7-413E-B4A6-508771D1FD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05212880"/>
        <c:axId val="158986416"/>
        <c:axId val="0"/>
      </c:bar3DChart>
      <c:catAx>
        <c:axId val="130521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86416"/>
        <c:crosses val="autoZero"/>
        <c:auto val="1"/>
        <c:lblAlgn val="ctr"/>
        <c:lblOffset val="100"/>
        <c:noMultiLvlLbl val="0"/>
      </c:catAx>
      <c:valAx>
        <c:axId val="1589864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0521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June!$B$31:$M$31</c:f>
              <c:numCache>
                <c:formatCode>General</c:formatCode>
                <c:ptCount val="12"/>
                <c:pt idx="0">
                  <c:v>36040</c:v>
                </c:pt>
                <c:pt idx="2">
                  <c:v>32460</c:v>
                </c:pt>
                <c:pt idx="3">
                  <c:v>3020</c:v>
                </c:pt>
                <c:pt idx="5">
                  <c:v>260</c:v>
                </c:pt>
                <c:pt idx="7">
                  <c:v>2266</c:v>
                </c:pt>
                <c:pt idx="9">
                  <c:v>5571</c:v>
                </c:pt>
                <c:pt idx="11">
                  <c:v>5037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6-451A-B47E-AAD0433805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370400640"/>
        <c:axId val="312558432"/>
        <c:axId val="0"/>
      </c:bar3DChart>
      <c:catAx>
        <c:axId val="370400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558432"/>
        <c:crosses val="autoZero"/>
        <c:auto val="1"/>
        <c:lblAlgn val="ctr"/>
        <c:lblOffset val="100"/>
        <c:noMultiLvlLbl val="0"/>
      </c:catAx>
      <c:valAx>
        <c:axId val="3125584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7040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July!$B$32:$M$32</c:f>
              <c:numCache>
                <c:formatCode>General</c:formatCode>
                <c:ptCount val="12"/>
                <c:pt idx="0">
                  <c:v>34040</c:v>
                </c:pt>
                <c:pt idx="2">
                  <c:v>32000</c:v>
                </c:pt>
                <c:pt idx="3">
                  <c:v>4042</c:v>
                </c:pt>
                <c:pt idx="5">
                  <c:v>332</c:v>
                </c:pt>
                <c:pt idx="7">
                  <c:v>14803</c:v>
                </c:pt>
                <c:pt idx="9">
                  <c:v>7194</c:v>
                </c:pt>
                <c:pt idx="11">
                  <c:v>4864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2-4A0D-8152-65DCAFD298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786990767"/>
        <c:axId val="1629030511"/>
        <c:axId val="0"/>
      </c:bar3DChart>
      <c:catAx>
        <c:axId val="1786990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30511"/>
        <c:crosses val="autoZero"/>
        <c:auto val="1"/>
        <c:lblAlgn val="ctr"/>
        <c:lblOffset val="100"/>
        <c:noMultiLvlLbl val="0"/>
      </c:catAx>
      <c:valAx>
        <c:axId val="16290305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8699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"/>
          <c:w val="0.92757201646090537"/>
          <c:h val="0.80472076856705699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August!$B$32:$M$32</c:f>
              <c:numCache>
                <c:formatCode>General</c:formatCode>
                <c:ptCount val="12"/>
                <c:pt idx="0">
                  <c:v>52040</c:v>
                </c:pt>
                <c:pt idx="2">
                  <c:v>58760</c:v>
                </c:pt>
                <c:pt idx="3">
                  <c:v>3560</c:v>
                </c:pt>
                <c:pt idx="5">
                  <c:v>2994</c:v>
                </c:pt>
                <c:pt idx="7">
                  <c:v>9447</c:v>
                </c:pt>
                <c:pt idx="9">
                  <c:v>12733</c:v>
                </c:pt>
                <c:pt idx="11">
                  <c:v>3763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0-4D94-82A8-231BA22466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037514416"/>
        <c:axId val="844039296"/>
        <c:axId val="0"/>
      </c:bar3DChart>
      <c:catAx>
        <c:axId val="1037514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039296"/>
        <c:crosses val="autoZero"/>
        <c:auto val="1"/>
        <c:lblAlgn val="ctr"/>
        <c:lblOffset val="100"/>
        <c:noMultiLvlLbl val="0"/>
      </c:catAx>
      <c:valAx>
        <c:axId val="8440392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3751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Sept!$B$31:$M$31</c:f>
              <c:numCache>
                <c:formatCode>General</c:formatCode>
                <c:ptCount val="12"/>
                <c:pt idx="0">
                  <c:v>23040</c:v>
                </c:pt>
                <c:pt idx="2">
                  <c:v>86760</c:v>
                </c:pt>
                <c:pt idx="3">
                  <c:v>2980</c:v>
                </c:pt>
                <c:pt idx="5">
                  <c:v>92</c:v>
                </c:pt>
                <c:pt idx="7">
                  <c:v>15303</c:v>
                </c:pt>
                <c:pt idx="9">
                  <c:v>4638</c:v>
                </c:pt>
                <c:pt idx="11">
                  <c:v>1904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2-404D-BE7D-26CAB4C1FE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78699119"/>
        <c:axId val="1303002351"/>
        <c:axId val="0"/>
      </c:bar3DChart>
      <c:catAx>
        <c:axId val="1378699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002351"/>
        <c:crosses val="autoZero"/>
        <c:auto val="1"/>
        <c:lblAlgn val="ctr"/>
        <c:lblOffset val="100"/>
        <c:noMultiLvlLbl val="0"/>
      </c:catAx>
      <c:valAx>
        <c:axId val="130300235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7869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Oct!$B$32:$M$32</c:f>
              <c:numCache>
                <c:formatCode>General</c:formatCode>
                <c:ptCount val="12"/>
                <c:pt idx="0">
                  <c:v>23040</c:v>
                </c:pt>
                <c:pt idx="2">
                  <c:v>36300</c:v>
                </c:pt>
                <c:pt idx="3">
                  <c:v>4055</c:v>
                </c:pt>
                <c:pt idx="5">
                  <c:v>783</c:v>
                </c:pt>
                <c:pt idx="7">
                  <c:v>4644</c:v>
                </c:pt>
                <c:pt idx="9">
                  <c:v>4917</c:v>
                </c:pt>
                <c:pt idx="11">
                  <c:v>1644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2-4D46-8554-5DC41476AF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915014751"/>
        <c:axId val="1998603679"/>
        <c:axId val="0"/>
      </c:bar3DChart>
      <c:catAx>
        <c:axId val="1915014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603679"/>
        <c:crosses val="autoZero"/>
        <c:auto val="1"/>
        <c:lblAlgn val="ctr"/>
        <c:lblOffset val="100"/>
        <c:noMultiLvlLbl val="0"/>
      </c:catAx>
      <c:valAx>
        <c:axId val="199860367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1501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Nov!$B$31:$M$31</c:f>
              <c:numCache>
                <c:formatCode>General</c:formatCode>
                <c:ptCount val="12"/>
                <c:pt idx="0">
                  <c:v>23040</c:v>
                </c:pt>
                <c:pt idx="2">
                  <c:v>40960</c:v>
                </c:pt>
                <c:pt idx="3">
                  <c:v>3545</c:v>
                </c:pt>
                <c:pt idx="5">
                  <c:v>3882</c:v>
                </c:pt>
                <c:pt idx="7">
                  <c:v>5498</c:v>
                </c:pt>
                <c:pt idx="9">
                  <c:v>9225</c:v>
                </c:pt>
                <c:pt idx="11">
                  <c:v>1701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70-4245-B327-865316E5A9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861885488"/>
        <c:axId val="1726896048"/>
        <c:axId val="0"/>
      </c:bar3DChart>
      <c:catAx>
        <c:axId val="1861885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896048"/>
        <c:crosses val="autoZero"/>
        <c:auto val="1"/>
        <c:lblAlgn val="ctr"/>
        <c:lblOffset val="100"/>
        <c:noMultiLvlLbl val="0"/>
      </c:catAx>
      <c:valAx>
        <c:axId val="17268960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6188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Dec!$B$32:$M$32</c:f>
              <c:numCache>
                <c:formatCode>General</c:formatCode>
                <c:ptCount val="12"/>
                <c:pt idx="0">
                  <c:v>16000</c:v>
                </c:pt>
                <c:pt idx="2">
                  <c:v>70610</c:v>
                </c:pt>
                <c:pt idx="3">
                  <c:v>2167</c:v>
                </c:pt>
                <c:pt idx="5">
                  <c:v>6711</c:v>
                </c:pt>
                <c:pt idx="7">
                  <c:v>14965</c:v>
                </c:pt>
                <c:pt idx="9">
                  <c:v>4060</c:v>
                </c:pt>
                <c:pt idx="11">
                  <c:v>3241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7-4DA6-A67E-569971E5BF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9128687"/>
        <c:axId val="2043877839"/>
        <c:axId val="0"/>
      </c:bar3DChart>
      <c:catAx>
        <c:axId val="29128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877839"/>
        <c:crosses val="autoZero"/>
        <c:auto val="1"/>
        <c:lblAlgn val="ctr"/>
        <c:lblOffset val="100"/>
        <c:noMultiLvlLbl val="0"/>
      </c:catAx>
      <c:valAx>
        <c:axId val="204387783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912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10</xdr:row>
      <xdr:rowOff>28575</xdr:rowOff>
    </xdr:from>
    <xdr:to>
      <xdr:col>4</xdr:col>
      <xdr:colOff>704849</xdr:colOff>
      <xdr:row>20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445C36-F85E-8982-FC03-F48698A63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19</xdr:row>
      <xdr:rowOff>76199</xdr:rowOff>
    </xdr:from>
    <xdr:to>
      <xdr:col>2</xdr:col>
      <xdr:colOff>1685925</xdr:colOff>
      <xdr:row>29</xdr:row>
      <xdr:rowOff>109536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E612F8-CD89-EDCD-B2EA-23F77CA19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12</xdr:row>
      <xdr:rowOff>19049</xdr:rowOff>
    </xdr:from>
    <xdr:to>
      <xdr:col>4</xdr:col>
      <xdr:colOff>171450</xdr:colOff>
      <xdr:row>23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8B9C16-FDB6-BCDB-50C3-0BB3FF900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12</xdr:row>
      <xdr:rowOff>9525</xdr:rowOff>
    </xdr:from>
    <xdr:to>
      <xdr:col>4</xdr:col>
      <xdr:colOff>247650</xdr:colOff>
      <xdr:row>22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6EA14F-0F16-FE3A-6CC5-FCD1054D8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12</xdr:row>
      <xdr:rowOff>47624</xdr:rowOff>
    </xdr:from>
    <xdr:to>
      <xdr:col>4</xdr:col>
      <xdr:colOff>1400175</xdr:colOff>
      <xdr:row>23</xdr:row>
      <xdr:rowOff>100011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C0E7B1-2A0B-74AC-037B-84092BA95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13</xdr:row>
      <xdr:rowOff>19050</xdr:rowOff>
    </xdr:from>
    <xdr:to>
      <xdr:col>4</xdr:col>
      <xdr:colOff>171450</xdr:colOff>
      <xdr:row>24</xdr:row>
      <xdr:rowOff>100011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3B1522-5D09-7C3D-0A6B-342E7AFAD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12</xdr:row>
      <xdr:rowOff>171449</xdr:rowOff>
    </xdr:from>
    <xdr:to>
      <xdr:col>4</xdr:col>
      <xdr:colOff>276225</xdr:colOff>
      <xdr:row>23</xdr:row>
      <xdr:rowOff>128586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039C24-211A-B7B5-FD7B-9987A6830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14</xdr:row>
      <xdr:rowOff>76199</xdr:rowOff>
    </xdr:from>
    <xdr:to>
      <xdr:col>4</xdr:col>
      <xdr:colOff>381000</xdr:colOff>
      <xdr:row>25</xdr:row>
      <xdr:rowOff>14286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9A35D-1755-6EA4-BA5E-33A5F7B4B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14</xdr:row>
      <xdr:rowOff>9524</xdr:rowOff>
    </xdr:from>
    <xdr:to>
      <xdr:col>4</xdr:col>
      <xdr:colOff>819150</xdr:colOff>
      <xdr:row>25</xdr:row>
      <xdr:rowOff>80961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0F6F6C-7392-906E-512B-B35145778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14</xdr:row>
      <xdr:rowOff>9525</xdr:rowOff>
    </xdr:from>
    <xdr:to>
      <xdr:col>4</xdr:col>
      <xdr:colOff>952500</xdr:colOff>
      <xdr:row>22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052945-FD2C-A8E0-8D4D-CCD382995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14</xdr:row>
      <xdr:rowOff>104774</xdr:rowOff>
    </xdr:from>
    <xdr:to>
      <xdr:col>4</xdr:col>
      <xdr:colOff>161925</xdr:colOff>
      <xdr:row>25</xdr:row>
      <xdr:rowOff>176211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3F4EB-C91A-AD3B-124F-3D3608C8C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21</xdr:row>
      <xdr:rowOff>47625</xdr:rowOff>
    </xdr:from>
    <xdr:to>
      <xdr:col>4</xdr:col>
      <xdr:colOff>1000125</xdr:colOff>
      <xdr:row>30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572C5-AAF8-C865-C848-D096B9A2F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5BE8-C3E6-406B-A8B3-DCAE3B5C7BE3}">
  <dimension ref="A1:P32"/>
  <sheetViews>
    <sheetView topLeftCell="D1" workbookViewId="0">
      <pane ySplit="1" topLeftCell="A22" activePane="bottomLeft" state="frozen"/>
      <selection activeCell="D1" sqref="D1"/>
      <selection pane="bottomLeft" activeCell="H12" sqref="H12"/>
    </sheetView>
  </sheetViews>
  <sheetFormatPr defaultRowHeight="15" x14ac:dyDescent="0.25"/>
  <cols>
    <col min="1" max="1" width="13.7109375" customWidth="1"/>
    <col min="3" max="3" width="15.28515625" customWidth="1"/>
    <col min="5" max="5" width="16" customWidth="1"/>
    <col min="6" max="6" width="23.85546875" customWidth="1"/>
    <col min="8" max="8" width="25.42578125" customWidth="1"/>
    <col min="10" max="10" width="23.7109375" customWidth="1"/>
    <col min="12" max="12" width="18.8554687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14</v>
      </c>
      <c r="B2">
        <v>6000</v>
      </c>
      <c r="C2" t="s">
        <v>17</v>
      </c>
      <c r="D2">
        <v>1500</v>
      </c>
      <c r="E2">
        <f>81+81</f>
        <v>162</v>
      </c>
      <c r="H2" t="s">
        <v>29</v>
      </c>
      <c r="I2">
        <v>1249</v>
      </c>
      <c r="J2" t="s">
        <v>22</v>
      </c>
      <c r="K2">
        <v>2500</v>
      </c>
    </row>
    <row r="3" spans="1:16" x14ac:dyDescent="0.25">
      <c r="A3" t="s">
        <v>15</v>
      </c>
      <c r="B3">
        <v>7040</v>
      </c>
      <c r="C3" t="s">
        <v>18</v>
      </c>
      <c r="D3">
        <v>160</v>
      </c>
      <c r="E3">
        <f t="shared" ref="E3:E4" si="0">81+81</f>
        <v>162</v>
      </c>
      <c r="F3" t="s">
        <v>25</v>
      </c>
      <c r="G3">
        <v>50</v>
      </c>
      <c r="H3" t="s">
        <v>27</v>
      </c>
      <c r="I3">
        <v>4800</v>
      </c>
      <c r="J3" t="s">
        <v>26</v>
      </c>
      <c r="K3">
        <v>70</v>
      </c>
      <c r="O3" t="s">
        <v>7</v>
      </c>
      <c r="P3">
        <v>7000</v>
      </c>
    </row>
    <row r="4" spans="1:16" x14ac:dyDescent="0.25">
      <c r="A4" t="s">
        <v>16</v>
      </c>
      <c r="B4">
        <v>2000</v>
      </c>
      <c r="C4" t="s">
        <v>19</v>
      </c>
      <c r="D4">
        <v>1850</v>
      </c>
      <c r="E4">
        <f t="shared" si="0"/>
        <v>162</v>
      </c>
      <c r="H4" t="s">
        <v>28</v>
      </c>
      <c r="I4">
        <v>500</v>
      </c>
      <c r="J4" t="s">
        <v>30</v>
      </c>
      <c r="K4">
        <v>3726</v>
      </c>
    </row>
    <row r="5" spans="1:16" x14ac:dyDescent="0.25">
      <c r="C5" t="s">
        <v>20</v>
      </c>
      <c r="D5">
        <v>750</v>
      </c>
      <c r="K5">
        <v>8880</v>
      </c>
    </row>
    <row r="6" spans="1:16" ht="30" x14ac:dyDescent="0.25">
      <c r="C6" t="s">
        <v>21</v>
      </c>
      <c r="D6">
        <v>19000</v>
      </c>
      <c r="F6" t="s">
        <v>36</v>
      </c>
      <c r="G6">
        <v>40</v>
      </c>
      <c r="H6" s="2" t="s">
        <v>35</v>
      </c>
      <c r="I6">
        <v>990</v>
      </c>
    </row>
    <row r="7" spans="1:16" x14ac:dyDescent="0.25">
      <c r="A7" t="s">
        <v>32</v>
      </c>
      <c r="E7">
        <v>148</v>
      </c>
      <c r="F7" t="s">
        <v>34</v>
      </c>
      <c r="G7">
        <v>130</v>
      </c>
      <c r="H7" t="s">
        <v>38</v>
      </c>
      <c r="I7">
        <v>864</v>
      </c>
      <c r="J7" t="s">
        <v>33</v>
      </c>
      <c r="K7">
        <v>150</v>
      </c>
      <c r="O7" t="s">
        <v>8</v>
      </c>
      <c r="P7" t="s">
        <v>9</v>
      </c>
    </row>
    <row r="8" spans="1:16" x14ac:dyDescent="0.25">
      <c r="H8" t="s">
        <v>39</v>
      </c>
      <c r="I8">
        <v>1829</v>
      </c>
    </row>
    <row r="9" spans="1:16" x14ac:dyDescent="0.25">
      <c r="H9" t="s">
        <v>40</v>
      </c>
      <c r="I9">
        <v>1313</v>
      </c>
    </row>
    <row r="10" spans="1:16" x14ac:dyDescent="0.25">
      <c r="A10" t="s">
        <v>59</v>
      </c>
      <c r="E10">
        <v>162</v>
      </c>
      <c r="F10" t="s">
        <v>43</v>
      </c>
      <c r="G10">
        <v>100</v>
      </c>
      <c r="H10" t="s">
        <v>52</v>
      </c>
      <c r="I10">
        <v>1900</v>
      </c>
      <c r="O10" t="s">
        <v>10</v>
      </c>
    </row>
    <row r="11" spans="1:16" x14ac:dyDescent="0.25">
      <c r="E11">
        <v>162</v>
      </c>
      <c r="H11" t="s">
        <v>42</v>
      </c>
      <c r="I11">
        <f>1014+1107</f>
        <v>2121</v>
      </c>
      <c r="O11" t="s">
        <v>11</v>
      </c>
      <c r="P11">
        <v>23000</v>
      </c>
    </row>
    <row r="12" spans="1:16" x14ac:dyDescent="0.25">
      <c r="E12">
        <v>162</v>
      </c>
      <c r="F12" t="s">
        <v>45</v>
      </c>
      <c r="G12">
        <f>70+100</f>
        <v>170</v>
      </c>
      <c r="H12" t="s">
        <v>44</v>
      </c>
      <c r="I12">
        <v>305</v>
      </c>
      <c r="O12" t="s">
        <v>12</v>
      </c>
      <c r="P12">
        <f>21269-6500-1300</f>
        <v>13469</v>
      </c>
    </row>
    <row r="13" spans="1:16" x14ac:dyDescent="0.25">
      <c r="F13" t="s">
        <v>46</v>
      </c>
      <c r="G13">
        <v>100</v>
      </c>
      <c r="O13" t="s">
        <v>13</v>
      </c>
      <c r="P13" s="1">
        <f>SUM(P11:P12)</f>
        <v>36469</v>
      </c>
    </row>
    <row r="14" spans="1:16" x14ac:dyDescent="0.25">
      <c r="E14">
        <v>360</v>
      </c>
      <c r="F14" t="s">
        <v>47</v>
      </c>
      <c r="G14">
        <v>250</v>
      </c>
    </row>
    <row r="16" spans="1:16" x14ac:dyDescent="0.25">
      <c r="J16" t="s">
        <v>48</v>
      </c>
      <c r="K16">
        <v>90886</v>
      </c>
      <c r="O16" t="s">
        <v>37</v>
      </c>
    </row>
    <row r="17" spans="1:14" x14ac:dyDescent="0.25">
      <c r="F17" t="s">
        <v>34</v>
      </c>
      <c r="G17">
        <v>105</v>
      </c>
    </row>
    <row r="18" spans="1:14" x14ac:dyDescent="0.25">
      <c r="H18" t="s">
        <v>49</v>
      </c>
      <c r="I18">
        <v>220</v>
      </c>
    </row>
    <row r="20" spans="1:14" x14ac:dyDescent="0.25">
      <c r="J20" t="s">
        <v>51</v>
      </c>
      <c r="K20">
        <v>869</v>
      </c>
    </row>
    <row r="21" spans="1:14" x14ac:dyDescent="0.25">
      <c r="A21" t="s">
        <v>50</v>
      </c>
      <c r="E21">
        <v>78</v>
      </c>
      <c r="J21" t="s">
        <v>53</v>
      </c>
      <c r="K21">
        <v>209</v>
      </c>
    </row>
    <row r="22" spans="1:14" x14ac:dyDescent="0.25">
      <c r="E22">
        <v>63</v>
      </c>
      <c r="J22" t="s">
        <v>54</v>
      </c>
      <c r="K22">
        <v>1159</v>
      </c>
    </row>
    <row r="23" spans="1:14" x14ac:dyDescent="0.25">
      <c r="E23">
        <v>162</v>
      </c>
      <c r="F23" t="s">
        <v>36</v>
      </c>
      <c r="G23">
        <v>20</v>
      </c>
    </row>
    <row r="24" spans="1:14" x14ac:dyDescent="0.25">
      <c r="F24" t="s">
        <v>60</v>
      </c>
      <c r="G24">
        <v>220</v>
      </c>
      <c r="J24" t="s">
        <v>56</v>
      </c>
      <c r="K24">
        <v>12600</v>
      </c>
    </row>
    <row r="25" spans="1:14" x14ac:dyDescent="0.25">
      <c r="F25" t="s">
        <v>61</v>
      </c>
      <c r="G25">
        <v>100</v>
      </c>
    </row>
    <row r="26" spans="1:14" x14ac:dyDescent="0.25">
      <c r="F26" t="s">
        <v>62</v>
      </c>
      <c r="G26">
        <v>230</v>
      </c>
    </row>
    <row r="32" spans="1:14" x14ac:dyDescent="0.25">
      <c r="B32">
        <f t="shared" ref="B32:M32" si="1">SUM(B2:B31)</f>
        <v>15040</v>
      </c>
      <c r="D32">
        <f t="shared" si="1"/>
        <v>23260</v>
      </c>
      <c r="E32">
        <f t="shared" si="1"/>
        <v>1783</v>
      </c>
      <c r="G32">
        <f t="shared" si="1"/>
        <v>1515</v>
      </c>
      <c r="I32">
        <f t="shared" si="1"/>
        <v>16091</v>
      </c>
      <c r="K32">
        <f t="shared" si="1"/>
        <v>121049</v>
      </c>
      <c r="M32">
        <f t="shared" si="1"/>
        <v>0</v>
      </c>
      <c r="N32" s="1">
        <f>SUM(A32:M32)</f>
        <v>178738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4CD0-184F-4A19-906A-16657100BE1E}">
  <dimension ref="A2:G18"/>
  <sheetViews>
    <sheetView topLeftCell="A4" workbookViewId="0">
      <selection activeCell="F10" sqref="F10"/>
    </sheetView>
  </sheetViews>
  <sheetFormatPr defaultRowHeight="15" x14ac:dyDescent="0.25"/>
  <cols>
    <col min="1" max="1" width="20.42578125" customWidth="1"/>
  </cols>
  <sheetData>
    <row r="2" spans="1:7" x14ac:dyDescent="0.25">
      <c r="A2" t="s">
        <v>23</v>
      </c>
      <c r="B2">
        <v>61700</v>
      </c>
    </row>
    <row r="3" spans="1:7" x14ac:dyDescent="0.25">
      <c r="A3" t="s">
        <v>24</v>
      </c>
      <c r="B3">
        <v>1159</v>
      </c>
      <c r="F3" t="s">
        <v>48</v>
      </c>
      <c r="G3">
        <v>90886</v>
      </c>
    </row>
    <row r="4" spans="1:7" x14ac:dyDescent="0.25">
      <c r="A4" t="s">
        <v>31</v>
      </c>
      <c r="B4">
        <f>8880+3726</f>
        <v>12606</v>
      </c>
      <c r="F4" t="s">
        <v>125</v>
      </c>
    </row>
    <row r="5" spans="1:7" ht="30" x14ac:dyDescent="0.25">
      <c r="A5" s="2" t="s">
        <v>35</v>
      </c>
      <c r="B5">
        <v>990</v>
      </c>
    </row>
    <row r="6" spans="1:7" x14ac:dyDescent="0.25">
      <c r="A6" t="s">
        <v>38</v>
      </c>
      <c r="B6">
        <v>864</v>
      </c>
    </row>
    <row r="7" spans="1:7" x14ac:dyDescent="0.25">
      <c r="A7" t="s">
        <v>39</v>
      </c>
      <c r="B7">
        <v>1829</v>
      </c>
    </row>
    <row r="8" spans="1:7" x14ac:dyDescent="0.25">
      <c r="A8" t="s">
        <v>40</v>
      </c>
      <c r="B8">
        <v>1313</v>
      </c>
    </row>
    <row r="9" spans="1:7" x14ac:dyDescent="0.25">
      <c r="A9" t="s">
        <v>41</v>
      </c>
      <c r="B9">
        <v>1900</v>
      </c>
    </row>
    <row r="10" spans="1:7" x14ac:dyDescent="0.25">
      <c r="A10" t="s">
        <v>42</v>
      </c>
      <c r="B10">
        <f>1014+1107</f>
        <v>2121</v>
      </c>
    </row>
    <row r="11" spans="1:7" x14ac:dyDescent="0.25">
      <c r="A11" t="s">
        <v>44</v>
      </c>
      <c r="B11">
        <v>305</v>
      </c>
    </row>
    <row r="12" spans="1:7" x14ac:dyDescent="0.25">
      <c r="A12" t="s">
        <v>55</v>
      </c>
      <c r="B12">
        <v>1205</v>
      </c>
    </row>
    <row r="13" spans="1:7" x14ac:dyDescent="0.25">
      <c r="A13" t="s">
        <v>65</v>
      </c>
      <c r="B13">
        <v>1500</v>
      </c>
    </row>
    <row r="14" spans="1:7" x14ac:dyDescent="0.25">
      <c r="A14" t="s">
        <v>57</v>
      </c>
      <c r="B14">
        <v>42000</v>
      </c>
    </row>
    <row r="18" spans="2:2" x14ac:dyDescent="0.25">
      <c r="B18" s="1">
        <f>SUM(B2:B17)</f>
        <v>129492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9D1F-2495-418E-8CC9-DCFA9B62DF10}">
  <dimension ref="A1:P31"/>
  <sheetViews>
    <sheetView workbookViewId="0">
      <pane ySplit="1" topLeftCell="A11" activePane="bottomLeft" state="frozen"/>
      <selection pane="bottomLeft" activeCell="D22" sqref="D22"/>
    </sheetView>
  </sheetViews>
  <sheetFormatPr defaultRowHeight="15" x14ac:dyDescent="0.25"/>
  <cols>
    <col min="1" max="1" width="16.7109375" customWidth="1"/>
    <col min="3" max="3" width="28.7109375" customWidth="1"/>
    <col min="5" max="5" width="18.5703125" customWidth="1"/>
    <col min="6" max="6" width="28.7109375" customWidth="1"/>
    <col min="8" max="8" width="23.42578125" customWidth="1"/>
    <col min="12" max="12" width="16.85546875" customWidth="1"/>
    <col min="15" max="15" width="12.285156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76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6" x14ac:dyDescent="0.25">
      <c r="A2" t="s">
        <v>14</v>
      </c>
      <c r="B2">
        <v>6000</v>
      </c>
      <c r="C2" t="s">
        <v>17</v>
      </c>
      <c r="D2">
        <v>1100</v>
      </c>
      <c r="J2" t="s">
        <v>22</v>
      </c>
      <c r="K2">
        <v>2500</v>
      </c>
    </row>
    <row r="3" spans="1:16" x14ac:dyDescent="0.25">
      <c r="A3" t="s">
        <v>15</v>
      </c>
      <c r="B3">
        <v>7040</v>
      </c>
      <c r="C3" t="s">
        <v>18</v>
      </c>
      <c r="D3">
        <v>120</v>
      </c>
      <c r="O3" t="s">
        <v>7</v>
      </c>
      <c r="P3">
        <v>7000</v>
      </c>
    </row>
    <row r="4" spans="1:16" x14ac:dyDescent="0.25">
      <c r="A4" t="s">
        <v>16</v>
      </c>
      <c r="B4">
        <v>2000</v>
      </c>
      <c r="C4" t="s">
        <v>19</v>
      </c>
      <c r="D4">
        <v>1200</v>
      </c>
      <c r="L4" t="s">
        <v>80</v>
      </c>
      <c r="M4">
        <v>156</v>
      </c>
      <c r="O4" t="s">
        <v>95</v>
      </c>
      <c r="P4" t="s">
        <v>96</v>
      </c>
    </row>
    <row r="5" spans="1:16" x14ac:dyDescent="0.25">
      <c r="A5" t="s">
        <v>58</v>
      </c>
      <c r="B5">
        <v>4000</v>
      </c>
      <c r="C5" t="s">
        <v>20</v>
      </c>
      <c r="D5">
        <v>1100</v>
      </c>
      <c r="F5" t="s">
        <v>63</v>
      </c>
      <c r="G5">
        <v>220</v>
      </c>
      <c r="H5" s="2" t="s">
        <v>69</v>
      </c>
    </row>
    <row r="6" spans="1:16" x14ac:dyDescent="0.25">
      <c r="C6" t="s">
        <v>21</v>
      </c>
      <c r="D6">
        <v>19000</v>
      </c>
      <c r="E6">
        <v>340</v>
      </c>
      <c r="F6" t="s">
        <v>68</v>
      </c>
      <c r="G6">
        <v>100</v>
      </c>
      <c r="H6" t="s">
        <v>70</v>
      </c>
      <c r="I6">
        <v>698</v>
      </c>
    </row>
    <row r="7" spans="1:16" x14ac:dyDescent="0.25">
      <c r="F7" t="s">
        <v>66</v>
      </c>
      <c r="G7">
        <v>488</v>
      </c>
      <c r="O7" t="s">
        <v>8</v>
      </c>
      <c r="P7" t="s">
        <v>9</v>
      </c>
    </row>
    <row r="8" spans="1:16" x14ac:dyDescent="0.25">
      <c r="E8">
        <v>162</v>
      </c>
      <c r="F8" t="s">
        <v>67</v>
      </c>
    </row>
    <row r="9" spans="1:16" x14ac:dyDescent="0.25">
      <c r="A9" t="s">
        <v>90</v>
      </c>
      <c r="E9">
        <v>162</v>
      </c>
      <c r="F9" t="s">
        <v>71</v>
      </c>
      <c r="G9">
        <v>55</v>
      </c>
    </row>
    <row r="10" spans="1:16" x14ac:dyDescent="0.25">
      <c r="A10" t="s">
        <v>64</v>
      </c>
      <c r="E10">
        <v>162</v>
      </c>
      <c r="F10" t="s">
        <v>63</v>
      </c>
      <c r="G10">
        <f>20+40</f>
        <v>60</v>
      </c>
      <c r="O10" t="s">
        <v>10</v>
      </c>
    </row>
    <row r="11" spans="1:16" x14ac:dyDescent="0.25">
      <c r="F11" t="s">
        <v>72</v>
      </c>
      <c r="G11">
        <v>260</v>
      </c>
      <c r="O11" t="s">
        <v>11</v>
      </c>
    </row>
    <row r="12" spans="1:16" x14ac:dyDescent="0.25">
      <c r="F12" t="s">
        <v>73</v>
      </c>
      <c r="O12" t="s">
        <v>12</v>
      </c>
    </row>
    <row r="13" spans="1:16" x14ac:dyDescent="0.25">
      <c r="C13" t="s">
        <v>77</v>
      </c>
      <c r="E13">
        <v>25</v>
      </c>
      <c r="F13" t="s">
        <v>75</v>
      </c>
      <c r="G13">
        <v>392</v>
      </c>
      <c r="O13" t="s">
        <v>13</v>
      </c>
      <c r="P13" s="1">
        <v>36469</v>
      </c>
    </row>
    <row r="14" spans="1:16" x14ac:dyDescent="0.25">
      <c r="C14" t="s">
        <v>78</v>
      </c>
      <c r="E14">
        <v>20</v>
      </c>
      <c r="F14" t="s">
        <v>79</v>
      </c>
      <c r="G14">
        <v>14</v>
      </c>
      <c r="H14" t="s">
        <v>74</v>
      </c>
      <c r="I14">
        <v>709</v>
      </c>
      <c r="O14" t="s">
        <v>107</v>
      </c>
      <c r="P14" s="1" t="s">
        <v>108</v>
      </c>
    </row>
    <row r="15" spans="1:16" x14ac:dyDescent="0.25">
      <c r="E15">
        <v>162</v>
      </c>
      <c r="F15" t="s">
        <v>81</v>
      </c>
      <c r="G15">
        <v>220</v>
      </c>
    </row>
    <row r="16" spans="1:16" x14ac:dyDescent="0.25">
      <c r="E16">
        <v>162</v>
      </c>
      <c r="H16" t="s">
        <v>82</v>
      </c>
      <c r="I16">
        <v>130</v>
      </c>
      <c r="O16" t="s">
        <v>37</v>
      </c>
    </row>
    <row r="17" spans="2:14" x14ac:dyDescent="0.25">
      <c r="F17" t="s">
        <v>63</v>
      </c>
      <c r="G17">
        <v>130</v>
      </c>
      <c r="M17">
        <v>19</v>
      </c>
    </row>
    <row r="18" spans="2:14" x14ac:dyDescent="0.25">
      <c r="C18" t="s">
        <v>85</v>
      </c>
      <c r="E18">
        <v>84</v>
      </c>
      <c r="M18">
        <v>19</v>
      </c>
    </row>
    <row r="19" spans="2:14" x14ac:dyDescent="0.25">
      <c r="C19" t="s">
        <v>86</v>
      </c>
      <c r="E19">
        <v>102</v>
      </c>
      <c r="L19" t="s">
        <v>53</v>
      </c>
      <c r="M19">
        <v>209</v>
      </c>
    </row>
    <row r="20" spans="2:14" x14ac:dyDescent="0.25">
      <c r="E20">
        <v>162</v>
      </c>
      <c r="M20">
        <v>19</v>
      </c>
    </row>
    <row r="21" spans="2:14" x14ac:dyDescent="0.25">
      <c r="E21">
        <v>162</v>
      </c>
      <c r="M21">
        <v>19</v>
      </c>
    </row>
    <row r="22" spans="2:14" x14ac:dyDescent="0.25">
      <c r="E22">
        <v>162</v>
      </c>
      <c r="F22" t="s">
        <v>83</v>
      </c>
      <c r="G22">
        <v>100</v>
      </c>
      <c r="L22" t="s">
        <v>84</v>
      </c>
      <c r="M22">
        <v>864</v>
      </c>
    </row>
    <row r="23" spans="2:14" x14ac:dyDescent="0.25">
      <c r="F23" t="s">
        <v>88</v>
      </c>
      <c r="G23">
        <v>460</v>
      </c>
    </row>
    <row r="24" spans="2:14" x14ac:dyDescent="0.25">
      <c r="F24" t="s">
        <v>46</v>
      </c>
      <c r="G24">
        <v>100</v>
      </c>
    </row>
    <row r="25" spans="2:14" x14ac:dyDescent="0.25">
      <c r="E25">
        <v>172</v>
      </c>
    </row>
    <row r="26" spans="2:14" x14ac:dyDescent="0.25">
      <c r="E26">
        <v>162</v>
      </c>
    </row>
    <row r="27" spans="2:14" x14ac:dyDescent="0.25">
      <c r="E27">
        <v>162</v>
      </c>
    </row>
    <row r="28" spans="2:14" x14ac:dyDescent="0.25">
      <c r="E28">
        <v>162</v>
      </c>
      <c r="F28" t="s">
        <v>87</v>
      </c>
      <c r="G28">
        <v>95</v>
      </c>
    </row>
    <row r="29" spans="2:14" x14ac:dyDescent="0.25">
      <c r="E29">
        <v>380</v>
      </c>
    </row>
    <row r="31" spans="2:14" x14ac:dyDescent="0.25">
      <c r="B31">
        <f t="shared" ref="B31:M31" si="0">SUM(B2:B30)</f>
        <v>19040</v>
      </c>
      <c r="D31">
        <f t="shared" si="0"/>
        <v>22520</v>
      </c>
      <c r="E31">
        <f t="shared" si="0"/>
        <v>2905</v>
      </c>
      <c r="G31">
        <f t="shared" si="0"/>
        <v>2694</v>
      </c>
      <c r="I31">
        <f t="shared" si="0"/>
        <v>1537</v>
      </c>
      <c r="K31">
        <f t="shared" si="0"/>
        <v>2500</v>
      </c>
      <c r="M31">
        <f t="shared" si="0"/>
        <v>1305</v>
      </c>
      <c r="N31" s="1">
        <f>SUM(A31:M31)</f>
        <v>52501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1B55-2A3C-434F-B5BF-6DAD994AF99B}">
  <dimension ref="A1:P33"/>
  <sheetViews>
    <sheetView workbookViewId="0">
      <pane ySplit="1" topLeftCell="A19" activePane="bottomLeft" state="frozen"/>
      <selection pane="bottomLeft" activeCell="F19" sqref="F19"/>
    </sheetView>
  </sheetViews>
  <sheetFormatPr defaultRowHeight="15" x14ac:dyDescent="0.25"/>
  <cols>
    <col min="1" max="1" width="16.140625" customWidth="1"/>
    <col min="3" max="3" width="16.7109375" customWidth="1"/>
    <col min="5" max="5" width="15.42578125" customWidth="1"/>
    <col min="6" max="6" width="16.7109375" bestFit="1" customWidth="1"/>
    <col min="8" max="8" width="17.5703125" customWidth="1"/>
    <col min="10" max="10" width="18.85546875" customWidth="1"/>
    <col min="12" max="12" width="17.85546875" customWidth="1"/>
    <col min="16" max="16" width="10.710937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91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6" x14ac:dyDescent="0.25">
      <c r="A2" t="s">
        <v>14</v>
      </c>
      <c r="B2">
        <v>6000</v>
      </c>
      <c r="C2" t="s">
        <v>17</v>
      </c>
      <c r="D2">
        <v>750</v>
      </c>
      <c r="E2">
        <v>160</v>
      </c>
      <c r="J2" t="s">
        <v>22</v>
      </c>
      <c r="K2">
        <v>2500</v>
      </c>
      <c r="M2">
        <v>19</v>
      </c>
    </row>
    <row r="3" spans="1:16" x14ac:dyDescent="0.25">
      <c r="A3" t="s">
        <v>15</v>
      </c>
      <c r="B3">
        <v>7040</v>
      </c>
      <c r="C3" t="s">
        <v>18</v>
      </c>
      <c r="D3">
        <v>120</v>
      </c>
      <c r="E3">
        <v>160</v>
      </c>
      <c r="M3">
        <v>19</v>
      </c>
      <c r="N3" t="s">
        <v>7</v>
      </c>
      <c r="O3">
        <v>7000</v>
      </c>
    </row>
    <row r="4" spans="1:16" x14ac:dyDescent="0.25">
      <c r="A4" t="s">
        <v>16</v>
      </c>
      <c r="B4">
        <v>2000</v>
      </c>
      <c r="C4" t="s">
        <v>19</v>
      </c>
      <c r="D4">
        <v>1000</v>
      </c>
      <c r="E4">
        <v>160</v>
      </c>
      <c r="M4">
        <v>19</v>
      </c>
      <c r="N4" t="s">
        <v>97</v>
      </c>
      <c r="O4" t="s">
        <v>94</v>
      </c>
    </row>
    <row r="5" spans="1:16" x14ac:dyDescent="0.25">
      <c r="A5" t="s">
        <v>58</v>
      </c>
      <c r="B5">
        <v>4000</v>
      </c>
      <c r="C5" t="s">
        <v>20</v>
      </c>
      <c r="D5">
        <v>750</v>
      </c>
    </row>
    <row r="6" spans="1:16" ht="30" x14ac:dyDescent="0.25">
      <c r="C6" t="s">
        <v>21</v>
      </c>
      <c r="E6">
        <v>162</v>
      </c>
      <c r="F6" t="s">
        <v>106</v>
      </c>
      <c r="G6">
        <v>105</v>
      </c>
      <c r="H6" s="2" t="s">
        <v>103</v>
      </c>
      <c r="I6">
        <v>1000</v>
      </c>
      <c r="L6" t="s">
        <v>105</v>
      </c>
      <c r="M6">
        <v>200</v>
      </c>
      <c r="N6" t="s">
        <v>98</v>
      </c>
      <c r="O6" t="s">
        <v>99</v>
      </c>
      <c r="P6" t="s">
        <v>100</v>
      </c>
    </row>
    <row r="7" spans="1:16" x14ac:dyDescent="0.25">
      <c r="E7">
        <v>162</v>
      </c>
      <c r="F7" t="s">
        <v>28</v>
      </c>
      <c r="G7">
        <v>300</v>
      </c>
      <c r="H7" t="s">
        <v>104</v>
      </c>
      <c r="I7">
        <v>1000</v>
      </c>
      <c r="P7" t="s">
        <v>101</v>
      </c>
    </row>
    <row r="8" spans="1:16" x14ac:dyDescent="0.25">
      <c r="C8" t="s">
        <v>92</v>
      </c>
      <c r="E8">
        <v>162</v>
      </c>
      <c r="F8" t="s">
        <v>109</v>
      </c>
      <c r="G8">
        <v>190</v>
      </c>
      <c r="M8">
        <v>19</v>
      </c>
    </row>
    <row r="9" spans="1:16" x14ac:dyDescent="0.25">
      <c r="A9" t="s">
        <v>102</v>
      </c>
      <c r="E9">
        <v>55</v>
      </c>
      <c r="F9" t="s">
        <v>110</v>
      </c>
      <c r="G9">
        <v>68</v>
      </c>
      <c r="H9" t="s">
        <v>111</v>
      </c>
      <c r="I9">
        <v>359</v>
      </c>
      <c r="L9" t="s">
        <v>112</v>
      </c>
      <c r="M9">
        <v>5000</v>
      </c>
    </row>
    <row r="10" spans="1:16" x14ac:dyDescent="0.25">
      <c r="A10" t="s">
        <v>89</v>
      </c>
      <c r="M10">
        <v>19</v>
      </c>
      <c r="N10" t="s">
        <v>10</v>
      </c>
    </row>
    <row r="11" spans="1:16" x14ac:dyDescent="0.25">
      <c r="F11" t="s">
        <v>113</v>
      </c>
      <c r="G11">
        <v>120</v>
      </c>
      <c r="J11" t="s">
        <v>117</v>
      </c>
      <c r="K11">
        <v>52</v>
      </c>
      <c r="N11" t="s">
        <v>11</v>
      </c>
    </row>
    <row r="12" spans="1:16" x14ac:dyDescent="0.25">
      <c r="E12">
        <v>162</v>
      </c>
      <c r="F12" t="s">
        <v>114</v>
      </c>
      <c r="G12">
        <v>584</v>
      </c>
      <c r="N12" t="s">
        <v>12</v>
      </c>
    </row>
    <row r="13" spans="1:16" x14ac:dyDescent="0.25">
      <c r="E13">
        <v>162</v>
      </c>
      <c r="F13" t="s">
        <v>115</v>
      </c>
      <c r="G13">
        <v>560</v>
      </c>
      <c r="L13" t="s">
        <v>80</v>
      </c>
      <c r="M13">
        <v>216</v>
      </c>
      <c r="N13" t="s">
        <v>13</v>
      </c>
      <c r="O13" s="1" t="s">
        <v>93</v>
      </c>
    </row>
    <row r="14" spans="1:16" x14ac:dyDescent="0.25">
      <c r="E14">
        <v>162</v>
      </c>
      <c r="F14" t="s">
        <v>116</v>
      </c>
      <c r="M14">
        <v>19</v>
      </c>
      <c r="N14" t="s">
        <v>107</v>
      </c>
      <c r="O14" s="1" t="s">
        <v>108</v>
      </c>
    </row>
    <row r="15" spans="1:16" x14ac:dyDescent="0.25">
      <c r="E15">
        <v>10</v>
      </c>
      <c r="M15">
        <v>19</v>
      </c>
    </row>
    <row r="17" spans="5:15" x14ac:dyDescent="0.25">
      <c r="J17" t="s">
        <v>126</v>
      </c>
      <c r="K17">
        <v>549</v>
      </c>
    </row>
    <row r="18" spans="5:15" x14ac:dyDescent="0.25">
      <c r="N18" t="s">
        <v>8</v>
      </c>
      <c r="O18" t="s">
        <v>9</v>
      </c>
    </row>
    <row r="19" spans="5:15" x14ac:dyDescent="0.25">
      <c r="E19">
        <v>10</v>
      </c>
    </row>
    <row r="20" spans="5:15" x14ac:dyDescent="0.25">
      <c r="E20">
        <f>162+320</f>
        <v>482</v>
      </c>
      <c r="J20" t="s">
        <v>127</v>
      </c>
      <c r="K20">
        <v>200</v>
      </c>
    </row>
    <row r="21" spans="5:15" x14ac:dyDescent="0.25">
      <c r="E21">
        <f>162+55</f>
        <v>217</v>
      </c>
    </row>
    <row r="22" spans="5:15" x14ac:dyDescent="0.25">
      <c r="E22">
        <v>162</v>
      </c>
      <c r="F22" t="s">
        <v>128</v>
      </c>
      <c r="G22">
        <v>1200</v>
      </c>
    </row>
    <row r="23" spans="5:15" x14ac:dyDescent="0.25">
      <c r="F23" t="s">
        <v>130</v>
      </c>
      <c r="G23">
        <v>40</v>
      </c>
      <c r="L23" t="s">
        <v>129</v>
      </c>
      <c r="M23">
        <v>981</v>
      </c>
    </row>
    <row r="24" spans="5:15" x14ac:dyDescent="0.25">
      <c r="F24" t="s">
        <v>61</v>
      </c>
      <c r="G24">
        <v>100</v>
      </c>
      <c r="L24" t="s">
        <v>131</v>
      </c>
      <c r="M24">
        <v>2000</v>
      </c>
    </row>
    <row r="25" spans="5:15" x14ac:dyDescent="0.25">
      <c r="L25" t="s">
        <v>132</v>
      </c>
      <c r="M25">
        <v>220</v>
      </c>
    </row>
    <row r="26" spans="5:15" x14ac:dyDescent="0.25">
      <c r="E26">
        <v>162</v>
      </c>
      <c r="F26" t="s">
        <v>134</v>
      </c>
      <c r="G26">
        <v>105</v>
      </c>
      <c r="M26">
        <v>19</v>
      </c>
    </row>
    <row r="27" spans="5:15" x14ac:dyDescent="0.25">
      <c r="E27">
        <v>162</v>
      </c>
      <c r="F27" t="s">
        <v>133</v>
      </c>
      <c r="G27">
        <v>140</v>
      </c>
      <c r="M27">
        <v>19</v>
      </c>
    </row>
    <row r="28" spans="5:15" x14ac:dyDescent="0.25">
      <c r="E28">
        <v>162</v>
      </c>
      <c r="M28">
        <v>19</v>
      </c>
    </row>
    <row r="29" spans="5:15" x14ac:dyDescent="0.25">
      <c r="L29" t="s">
        <v>136</v>
      </c>
      <c r="M29">
        <v>211</v>
      </c>
    </row>
    <row r="30" spans="5:15" x14ac:dyDescent="0.25">
      <c r="E30">
        <v>380</v>
      </c>
      <c r="H30" t="s">
        <v>135</v>
      </c>
      <c r="I30">
        <v>1000</v>
      </c>
    </row>
    <row r="31" spans="5:15" x14ac:dyDescent="0.25">
      <c r="F31" t="s">
        <v>140</v>
      </c>
      <c r="G31">
        <v>20</v>
      </c>
    </row>
    <row r="33" spans="2:14" x14ac:dyDescent="0.25">
      <c r="B33">
        <f t="shared" ref="B33:I33" si="0">SUM(B2:B32)</f>
        <v>19040</v>
      </c>
      <c r="D33">
        <f t="shared" si="0"/>
        <v>2620</v>
      </c>
      <c r="E33">
        <f t="shared" si="0"/>
        <v>3254</v>
      </c>
      <c r="G33">
        <f t="shared" si="0"/>
        <v>3532</v>
      </c>
      <c r="I33">
        <f t="shared" si="0"/>
        <v>3359</v>
      </c>
      <c r="K33">
        <f>SUM(K2:K32)</f>
        <v>3301</v>
      </c>
      <c r="M33">
        <f t="shared" ref="M33" si="1">SUM(M2:M32)</f>
        <v>9018</v>
      </c>
      <c r="N33" s="1">
        <f>SUM(A33:M33)</f>
        <v>44124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9085-C32C-4D66-9C6D-5DDA21F441F1}">
  <dimension ref="A1:R31"/>
  <sheetViews>
    <sheetView topLeftCell="C1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13.5703125" customWidth="1"/>
    <col min="3" max="3" width="22.140625" customWidth="1"/>
    <col min="5" max="5" width="19" customWidth="1"/>
    <col min="6" max="6" width="21.85546875" customWidth="1"/>
    <col min="8" max="8" width="23" customWidth="1"/>
    <col min="12" max="12" width="18.140625" customWidth="1"/>
    <col min="15" max="15" width="7.85546875" customWidth="1"/>
  </cols>
  <sheetData>
    <row r="1" spans="1:18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91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8" x14ac:dyDescent="0.25">
      <c r="A2" t="s">
        <v>14</v>
      </c>
      <c r="B2">
        <v>7000</v>
      </c>
      <c r="C2" t="s">
        <v>124</v>
      </c>
      <c r="F2" t="s">
        <v>138</v>
      </c>
      <c r="G2">
        <v>365</v>
      </c>
      <c r="J2" t="s">
        <v>22</v>
      </c>
      <c r="K2">
        <v>3000</v>
      </c>
    </row>
    <row r="3" spans="1:18" ht="30" x14ac:dyDescent="0.25">
      <c r="A3" t="s">
        <v>15</v>
      </c>
      <c r="B3">
        <v>7040</v>
      </c>
      <c r="F3" s="2" t="s">
        <v>141</v>
      </c>
      <c r="G3">
        <v>70</v>
      </c>
      <c r="N3" t="s">
        <v>7</v>
      </c>
      <c r="O3">
        <v>7000</v>
      </c>
    </row>
    <row r="4" spans="1:18" x14ac:dyDescent="0.25">
      <c r="A4" t="s">
        <v>16</v>
      </c>
      <c r="B4">
        <v>2000</v>
      </c>
      <c r="E4">
        <v>162</v>
      </c>
      <c r="F4" t="s">
        <v>139</v>
      </c>
      <c r="G4">
        <v>500</v>
      </c>
      <c r="H4" t="s">
        <v>142</v>
      </c>
      <c r="I4">
        <v>600</v>
      </c>
      <c r="L4" t="s">
        <v>53</v>
      </c>
      <c r="M4">
        <v>149</v>
      </c>
      <c r="N4" t="s">
        <v>97</v>
      </c>
      <c r="O4" t="s">
        <v>94</v>
      </c>
    </row>
    <row r="5" spans="1:18" x14ac:dyDescent="0.25">
      <c r="A5" t="s">
        <v>58</v>
      </c>
      <c r="B5">
        <v>4000</v>
      </c>
      <c r="E5">
        <v>162</v>
      </c>
    </row>
    <row r="6" spans="1:18" x14ac:dyDescent="0.25">
      <c r="A6" t="s">
        <v>148</v>
      </c>
      <c r="B6">
        <v>4000</v>
      </c>
      <c r="E6">
        <v>162</v>
      </c>
      <c r="H6" t="s">
        <v>143</v>
      </c>
      <c r="I6">
        <v>153</v>
      </c>
      <c r="N6" t="s">
        <v>98</v>
      </c>
      <c r="O6" t="s">
        <v>120</v>
      </c>
      <c r="P6" t="s">
        <v>137</v>
      </c>
      <c r="R6" t="s">
        <v>121</v>
      </c>
    </row>
    <row r="7" spans="1:18" x14ac:dyDescent="0.25">
      <c r="H7" t="s">
        <v>109</v>
      </c>
      <c r="I7">
        <v>190</v>
      </c>
      <c r="N7" t="s">
        <v>119</v>
      </c>
      <c r="P7" t="s">
        <v>101</v>
      </c>
    </row>
    <row r="8" spans="1:18" x14ac:dyDescent="0.25">
      <c r="A8" t="s">
        <v>145</v>
      </c>
      <c r="E8">
        <v>10</v>
      </c>
      <c r="F8" t="s">
        <v>46</v>
      </c>
      <c r="G8">
        <v>50</v>
      </c>
      <c r="H8" t="s">
        <v>144</v>
      </c>
      <c r="I8">
        <v>336</v>
      </c>
      <c r="L8" t="s">
        <v>53</v>
      </c>
      <c r="M8">
        <v>16</v>
      </c>
    </row>
    <row r="9" spans="1:18" x14ac:dyDescent="0.25">
      <c r="F9" t="s">
        <v>146</v>
      </c>
      <c r="G9">
        <v>48</v>
      </c>
      <c r="N9" t="s">
        <v>8</v>
      </c>
      <c r="O9" t="s">
        <v>9</v>
      </c>
    </row>
    <row r="10" spans="1:18" x14ac:dyDescent="0.25">
      <c r="A10" t="s">
        <v>122</v>
      </c>
      <c r="P10" t="s">
        <v>118</v>
      </c>
    </row>
    <row r="11" spans="1:18" x14ac:dyDescent="0.25">
      <c r="A11" t="s">
        <v>123</v>
      </c>
      <c r="E11">
        <v>162</v>
      </c>
      <c r="F11" t="s">
        <v>147</v>
      </c>
      <c r="G11">
        <v>40</v>
      </c>
    </row>
    <row r="12" spans="1:18" x14ac:dyDescent="0.25">
      <c r="E12">
        <v>162</v>
      </c>
      <c r="F12" t="s">
        <v>34</v>
      </c>
      <c r="G12">
        <v>65</v>
      </c>
    </row>
    <row r="13" spans="1:18" x14ac:dyDescent="0.25">
      <c r="E13">
        <v>162</v>
      </c>
      <c r="H13" t="s">
        <v>150</v>
      </c>
      <c r="I13">
        <v>6147</v>
      </c>
      <c r="O13" s="3"/>
    </row>
    <row r="14" spans="1:18" x14ac:dyDescent="0.25">
      <c r="F14" t="s">
        <v>149</v>
      </c>
      <c r="G14">
        <v>138</v>
      </c>
      <c r="L14" t="s">
        <v>153</v>
      </c>
      <c r="M14">
        <v>99</v>
      </c>
      <c r="O14" s="3"/>
    </row>
    <row r="15" spans="1:18" x14ac:dyDescent="0.25">
      <c r="E15">
        <v>310</v>
      </c>
      <c r="F15" t="s">
        <v>151</v>
      </c>
      <c r="G15">
        <v>183</v>
      </c>
    </row>
    <row r="17" spans="2:14" x14ac:dyDescent="0.25">
      <c r="F17" t="s">
        <v>34</v>
      </c>
      <c r="G17">
        <v>160</v>
      </c>
    </row>
    <row r="18" spans="2:14" x14ac:dyDescent="0.25">
      <c r="E18">
        <v>162</v>
      </c>
      <c r="F18" t="s">
        <v>152</v>
      </c>
      <c r="G18">
        <v>900</v>
      </c>
    </row>
    <row r="19" spans="2:14" x14ac:dyDescent="0.25">
      <c r="E19">
        <v>162</v>
      </c>
      <c r="F19" t="s">
        <v>154</v>
      </c>
      <c r="G19">
        <v>80</v>
      </c>
    </row>
    <row r="20" spans="2:14" x14ac:dyDescent="0.25">
      <c r="E20">
        <v>162</v>
      </c>
      <c r="F20" t="s">
        <v>155</v>
      </c>
      <c r="G20">
        <v>20</v>
      </c>
      <c r="H20" t="s">
        <v>157</v>
      </c>
      <c r="I20">
        <v>250</v>
      </c>
    </row>
    <row r="21" spans="2:14" x14ac:dyDescent="0.25">
      <c r="F21" t="s">
        <v>156</v>
      </c>
      <c r="G21">
        <v>60</v>
      </c>
    </row>
    <row r="22" spans="2:14" x14ac:dyDescent="0.25">
      <c r="F22" t="s">
        <v>159</v>
      </c>
      <c r="G22">
        <v>20</v>
      </c>
    </row>
    <row r="23" spans="2:14" x14ac:dyDescent="0.25">
      <c r="F23" t="s">
        <v>158</v>
      </c>
      <c r="G23">
        <v>120</v>
      </c>
    </row>
    <row r="24" spans="2:14" x14ac:dyDescent="0.25">
      <c r="F24" t="s">
        <v>34</v>
      </c>
      <c r="G24">
        <v>95</v>
      </c>
      <c r="L24" t="s">
        <v>163</v>
      </c>
      <c r="M24">
        <v>2000</v>
      </c>
    </row>
    <row r="25" spans="2:14" x14ac:dyDescent="0.25">
      <c r="E25">
        <v>162</v>
      </c>
      <c r="F25" t="s">
        <v>165</v>
      </c>
      <c r="G25">
        <v>100</v>
      </c>
    </row>
    <row r="26" spans="2:14" x14ac:dyDescent="0.25">
      <c r="E26">
        <v>162</v>
      </c>
      <c r="F26" t="s">
        <v>164</v>
      </c>
      <c r="G26">
        <v>280</v>
      </c>
    </row>
    <row r="27" spans="2:14" x14ac:dyDescent="0.25">
      <c r="E27">
        <v>162</v>
      </c>
      <c r="F27" t="s">
        <v>34</v>
      </c>
      <c r="G27">
        <v>130</v>
      </c>
    </row>
    <row r="28" spans="2:14" x14ac:dyDescent="0.25">
      <c r="F28" t="s">
        <v>152</v>
      </c>
      <c r="G28">
        <v>850</v>
      </c>
      <c r="L28" t="s">
        <v>53</v>
      </c>
      <c r="M28">
        <v>209</v>
      </c>
    </row>
    <row r="29" spans="2:14" x14ac:dyDescent="0.25">
      <c r="F29" t="s">
        <v>168</v>
      </c>
      <c r="G29">
        <v>1975</v>
      </c>
      <c r="L29" t="s">
        <v>167</v>
      </c>
      <c r="M29">
        <v>957</v>
      </c>
    </row>
    <row r="30" spans="2:14" x14ac:dyDescent="0.25">
      <c r="L30" t="s">
        <v>169</v>
      </c>
      <c r="M30">
        <v>76185</v>
      </c>
    </row>
    <row r="31" spans="2:14" x14ac:dyDescent="0.25">
      <c r="B31">
        <f t="shared" ref="B31:M31" si="0">SUM(B2:B30)</f>
        <v>24040</v>
      </c>
      <c r="D31">
        <f t="shared" si="0"/>
        <v>0</v>
      </c>
      <c r="E31">
        <f t="shared" si="0"/>
        <v>2264</v>
      </c>
      <c r="G31">
        <f t="shared" si="0"/>
        <v>6249</v>
      </c>
      <c r="I31">
        <f t="shared" si="0"/>
        <v>7676</v>
      </c>
      <c r="K31">
        <f t="shared" si="0"/>
        <v>3000</v>
      </c>
      <c r="M31">
        <f t="shared" si="0"/>
        <v>79615</v>
      </c>
      <c r="N31" s="1">
        <f>SUM(A31:M31)</f>
        <v>122844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751E4-4E27-4461-BA0D-C2445E22A0E0}">
  <dimension ref="A1:O32"/>
  <sheetViews>
    <sheetView topLeftCell="C1" workbookViewId="0">
      <selection activeCell="H14" sqref="H14"/>
    </sheetView>
  </sheetViews>
  <sheetFormatPr defaultRowHeight="15" x14ac:dyDescent="0.25"/>
  <cols>
    <col min="1" max="1" width="12" customWidth="1"/>
    <col min="3" max="3" width="17" customWidth="1"/>
    <col min="5" max="5" width="32" customWidth="1"/>
    <col min="6" max="6" width="16.5703125" customWidth="1"/>
    <col min="8" max="8" width="18.5703125" customWidth="1"/>
    <col min="10" max="10" width="14.28515625" customWidth="1"/>
    <col min="12" max="12" width="27.425781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91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5" x14ac:dyDescent="0.25">
      <c r="A2" t="s">
        <v>14</v>
      </c>
      <c r="B2">
        <v>7000</v>
      </c>
      <c r="C2" t="s">
        <v>17</v>
      </c>
      <c r="D2">
        <v>1000</v>
      </c>
      <c r="E2">
        <v>280</v>
      </c>
      <c r="F2" t="s">
        <v>170</v>
      </c>
      <c r="G2">
        <v>180</v>
      </c>
      <c r="J2" t="s">
        <v>22</v>
      </c>
      <c r="K2">
        <v>3000</v>
      </c>
    </row>
    <row r="3" spans="1:15" x14ac:dyDescent="0.25">
      <c r="A3" t="s">
        <v>15</v>
      </c>
      <c r="B3">
        <v>7040</v>
      </c>
      <c r="C3" t="s">
        <v>18</v>
      </c>
      <c r="D3">
        <v>160</v>
      </c>
      <c r="E3">
        <v>162</v>
      </c>
      <c r="F3" t="s">
        <v>171</v>
      </c>
      <c r="G3">
        <v>100</v>
      </c>
      <c r="N3" t="s">
        <v>7</v>
      </c>
      <c r="O3">
        <v>7000</v>
      </c>
    </row>
    <row r="4" spans="1:15" x14ac:dyDescent="0.25">
      <c r="A4" t="s">
        <v>16</v>
      </c>
      <c r="B4">
        <v>2000</v>
      </c>
      <c r="C4" t="s">
        <v>162</v>
      </c>
      <c r="D4">
        <v>300</v>
      </c>
      <c r="E4">
        <v>162</v>
      </c>
      <c r="F4" t="s">
        <v>170</v>
      </c>
      <c r="G4">
        <v>120</v>
      </c>
    </row>
    <row r="5" spans="1:15" x14ac:dyDescent="0.25">
      <c r="A5" t="s">
        <v>58</v>
      </c>
      <c r="B5">
        <v>4000</v>
      </c>
      <c r="C5" t="s">
        <v>166</v>
      </c>
      <c r="D5">
        <v>100</v>
      </c>
      <c r="E5">
        <v>162</v>
      </c>
    </row>
    <row r="6" spans="1:15" x14ac:dyDescent="0.25">
      <c r="A6" t="s">
        <v>148</v>
      </c>
      <c r="B6">
        <v>10000</v>
      </c>
      <c r="C6" t="s">
        <v>21</v>
      </c>
      <c r="D6">
        <v>32000</v>
      </c>
      <c r="E6">
        <v>162</v>
      </c>
      <c r="F6" t="s">
        <v>174</v>
      </c>
      <c r="G6">
        <v>170</v>
      </c>
      <c r="H6" t="s">
        <v>172</v>
      </c>
      <c r="I6">
        <v>6000</v>
      </c>
      <c r="L6" t="s">
        <v>173</v>
      </c>
      <c r="M6">
        <v>5500</v>
      </c>
    </row>
    <row r="7" spans="1:15" x14ac:dyDescent="0.25">
      <c r="F7" t="s">
        <v>176</v>
      </c>
    </row>
    <row r="8" spans="1:15" x14ac:dyDescent="0.25">
      <c r="C8" t="s">
        <v>181</v>
      </c>
      <c r="D8">
        <v>22000</v>
      </c>
      <c r="F8" t="s">
        <v>177</v>
      </c>
      <c r="G8">
        <v>472</v>
      </c>
    </row>
    <row r="9" spans="1:15" x14ac:dyDescent="0.25">
      <c r="E9">
        <v>162</v>
      </c>
      <c r="F9" t="s">
        <v>178</v>
      </c>
      <c r="G9">
        <v>40</v>
      </c>
      <c r="L9" t="s">
        <v>153</v>
      </c>
      <c r="M9">
        <v>19</v>
      </c>
      <c r="N9" t="s">
        <v>8</v>
      </c>
      <c r="O9" t="s">
        <v>9</v>
      </c>
    </row>
    <row r="10" spans="1:15" x14ac:dyDescent="0.25">
      <c r="A10" t="s">
        <v>160</v>
      </c>
      <c r="E10">
        <v>162</v>
      </c>
      <c r="F10" t="s">
        <v>179</v>
      </c>
      <c r="G10">
        <v>70</v>
      </c>
    </row>
    <row r="11" spans="1:15" x14ac:dyDescent="0.25">
      <c r="A11" t="s">
        <v>161</v>
      </c>
      <c r="E11">
        <v>162</v>
      </c>
    </row>
    <row r="12" spans="1:15" x14ac:dyDescent="0.25">
      <c r="F12" t="s">
        <v>170</v>
      </c>
      <c r="G12">
        <v>110</v>
      </c>
    </row>
    <row r="13" spans="1:15" x14ac:dyDescent="0.25">
      <c r="A13" t="s">
        <v>175</v>
      </c>
      <c r="G13">
        <v>45</v>
      </c>
      <c r="J13" t="s">
        <v>180</v>
      </c>
      <c r="K13">
        <v>460</v>
      </c>
      <c r="N13" t="s">
        <v>267</v>
      </c>
      <c r="O13" t="s">
        <v>268</v>
      </c>
    </row>
    <row r="14" spans="1:15" x14ac:dyDescent="0.25">
      <c r="E14">
        <v>310</v>
      </c>
      <c r="F14" t="s">
        <v>152</v>
      </c>
      <c r="G14">
        <v>850</v>
      </c>
    </row>
    <row r="15" spans="1:15" x14ac:dyDescent="0.25">
      <c r="E15">
        <v>162</v>
      </c>
    </row>
    <row r="16" spans="1:15" x14ac:dyDescent="0.25">
      <c r="E16">
        <v>162</v>
      </c>
      <c r="F16" t="s">
        <v>109</v>
      </c>
      <c r="G16">
        <v>160</v>
      </c>
      <c r="H16" t="s">
        <v>182</v>
      </c>
      <c r="I16">
        <v>660</v>
      </c>
      <c r="L16" t="s">
        <v>53</v>
      </c>
      <c r="M16">
        <v>209</v>
      </c>
    </row>
    <row r="17" spans="2:14" x14ac:dyDescent="0.25">
      <c r="E17">
        <v>162</v>
      </c>
      <c r="L17" t="s">
        <v>153</v>
      </c>
      <c r="M17">
        <v>99</v>
      </c>
    </row>
    <row r="18" spans="2:14" x14ac:dyDescent="0.25">
      <c r="E18">
        <v>162</v>
      </c>
      <c r="F18" t="s">
        <v>183</v>
      </c>
      <c r="G18">
        <v>95</v>
      </c>
    </row>
    <row r="20" spans="2:14" x14ac:dyDescent="0.25">
      <c r="F20" t="s">
        <v>34</v>
      </c>
      <c r="G20">
        <f>78+40+115</f>
        <v>233</v>
      </c>
    </row>
    <row r="21" spans="2:14" x14ac:dyDescent="0.25">
      <c r="F21" t="s">
        <v>184</v>
      </c>
      <c r="G21">
        <v>40</v>
      </c>
    </row>
    <row r="22" spans="2:14" x14ac:dyDescent="0.25">
      <c r="E22">
        <v>162</v>
      </c>
      <c r="F22" t="s">
        <v>186</v>
      </c>
      <c r="G22">
        <v>50</v>
      </c>
    </row>
    <row r="23" spans="2:14" x14ac:dyDescent="0.25">
      <c r="E23">
        <v>162</v>
      </c>
      <c r="F23" t="s">
        <v>185</v>
      </c>
      <c r="L23" t="s">
        <v>187</v>
      </c>
      <c r="M23">
        <v>2356</v>
      </c>
    </row>
    <row r="24" spans="2:14" x14ac:dyDescent="0.25">
      <c r="E24">
        <v>162</v>
      </c>
      <c r="H24" t="s">
        <v>192</v>
      </c>
      <c r="I24">
        <v>480</v>
      </c>
      <c r="J24" t="s">
        <v>189</v>
      </c>
      <c r="K24">
        <v>400</v>
      </c>
    </row>
    <row r="25" spans="2:14" x14ac:dyDescent="0.25">
      <c r="E25">
        <v>162</v>
      </c>
      <c r="H25" t="s">
        <v>188</v>
      </c>
      <c r="I25">
        <v>722</v>
      </c>
    </row>
    <row r="27" spans="2:14" x14ac:dyDescent="0.25">
      <c r="E27">
        <v>310</v>
      </c>
      <c r="F27" t="s">
        <v>190</v>
      </c>
      <c r="G27">
        <v>1628</v>
      </c>
    </row>
    <row r="28" spans="2:14" x14ac:dyDescent="0.25">
      <c r="E28">
        <v>162</v>
      </c>
      <c r="J28" t="s">
        <v>191</v>
      </c>
      <c r="K28">
        <v>870</v>
      </c>
    </row>
    <row r="29" spans="2:14" x14ac:dyDescent="0.25">
      <c r="E29">
        <v>162</v>
      </c>
      <c r="F29" t="s">
        <v>36</v>
      </c>
      <c r="G29">
        <v>135</v>
      </c>
    </row>
    <row r="30" spans="2:14" x14ac:dyDescent="0.25">
      <c r="E30">
        <v>162</v>
      </c>
      <c r="F30" t="s">
        <v>135</v>
      </c>
      <c r="G30">
        <v>500</v>
      </c>
      <c r="H30" t="s">
        <v>197</v>
      </c>
      <c r="I30">
        <v>500</v>
      </c>
    </row>
    <row r="31" spans="2:14" x14ac:dyDescent="0.25">
      <c r="E31">
        <v>162</v>
      </c>
      <c r="F31" t="s">
        <v>198</v>
      </c>
      <c r="G31">
        <v>220</v>
      </c>
    </row>
    <row r="32" spans="2:14" x14ac:dyDescent="0.25">
      <c r="B32">
        <f t="shared" ref="B32:L32" si="0">SUM(B2:B31)</f>
        <v>30040</v>
      </c>
      <c r="D32">
        <f t="shared" si="0"/>
        <v>55560</v>
      </c>
      <c r="E32">
        <f t="shared" si="0"/>
        <v>3978</v>
      </c>
      <c r="G32">
        <f t="shared" si="0"/>
        <v>5218</v>
      </c>
      <c r="I32">
        <f t="shared" si="0"/>
        <v>8362</v>
      </c>
      <c r="K32">
        <f t="shared" si="0"/>
        <v>4730</v>
      </c>
      <c r="L32">
        <f t="shared" si="0"/>
        <v>0</v>
      </c>
      <c r="M32">
        <f>SUM(M2:M31)</f>
        <v>8183</v>
      </c>
      <c r="N32" s="1">
        <f>SUM(A32:M32)</f>
        <v>116071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C525-81EC-48F9-BA95-9DFF6C222C9E}">
  <dimension ref="A1:P34"/>
  <sheetViews>
    <sheetView workbookViewId="0">
      <pane ySplit="1" topLeftCell="A2" activePane="bottomLeft" state="frozen"/>
      <selection pane="bottomLeft" activeCell="J25" sqref="J25"/>
    </sheetView>
  </sheetViews>
  <sheetFormatPr defaultRowHeight="15" x14ac:dyDescent="0.25"/>
  <cols>
    <col min="1" max="1" width="13.7109375" customWidth="1"/>
    <col min="3" max="3" width="16.7109375" customWidth="1"/>
    <col min="4" max="4" width="9.28515625" customWidth="1"/>
    <col min="5" max="5" width="16.85546875" customWidth="1"/>
    <col min="6" max="6" width="17" customWidth="1"/>
    <col min="8" max="8" width="17" customWidth="1"/>
    <col min="9" max="9" width="12.28515625" customWidth="1"/>
    <col min="10" max="10" width="14.42578125" customWidth="1"/>
    <col min="12" max="12" width="18.1406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91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6" x14ac:dyDescent="0.25">
      <c r="A2" t="s">
        <v>14</v>
      </c>
      <c r="B2">
        <v>7000</v>
      </c>
      <c r="F2" t="s">
        <v>200</v>
      </c>
      <c r="G2">
        <v>100</v>
      </c>
      <c r="L2" t="s">
        <v>22</v>
      </c>
      <c r="M2">
        <v>3000</v>
      </c>
      <c r="O2" t="s">
        <v>7</v>
      </c>
      <c r="P2">
        <v>7000</v>
      </c>
    </row>
    <row r="3" spans="1:16" ht="30" x14ac:dyDescent="0.25">
      <c r="A3" t="s">
        <v>15</v>
      </c>
      <c r="B3">
        <v>7040</v>
      </c>
      <c r="C3" t="s">
        <v>18</v>
      </c>
      <c r="D3">
        <v>160</v>
      </c>
      <c r="F3" s="2" t="s">
        <v>201</v>
      </c>
      <c r="G3">
        <v>220</v>
      </c>
    </row>
    <row r="4" spans="1:16" x14ac:dyDescent="0.25">
      <c r="A4" t="s">
        <v>16</v>
      </c>
      <c r="B4">
        <v>2000</v>
      </c>
      <c r="E4">
        <v>162</v>
      </c>
      <c r="F4" t="s">
        <v>183</v>
      </c>
      <c r="G4">
        <v>90</v>
      </c>
      <c r="L4" t="s">
        <v>80</v>
      </c>
      <c r="M4">
        <v>19</v>
      </c>
    </row>
    <row r="5" spans="1:16" x14ac:dyDescent="0.25">
      <c r="A5" t="s">
        <v>58</v>
      </c>
      <c r="B5">
        <v>4000</v>
      </c>
      <c r="C5" t="s">
        <v>166</v>
      </c>
      <c r="D5">
        <v>300</v>
      </c>
      <c r="E5">
        <v>162</v>
      </c>
      <c r="F5" t="s">
        <v>109</v>
      </c>
      <c r="G5">
        <v>100</v>
      </c>
      <c r="J5" t="s">
        <v>208</v>
      </c>
      <c r="K5">
        <v>501</v>
      </c>
      <c r="M5">
        <v>19</v>
      </c>
    </row>
    <row r="6" spans="1:16" x14ac:dyDescent="0.25">
      <c r="A6" t="s">
        <v>148</v>
      </c>
      <c r="B6">
        <v>16000</v>
      </c>
      <c r="C6" t="s">
        <v>21</v>
      </c>
      <c r="D6">
        <v>32000</v>
      </c>
      <c r="E6">
        <v>162</v>
      </c>
      <c r="F6" t="s">
        <v>203</v>
      </c>
      <c r="G6">
        <v>50</v>
      </c>
      <c r="M6">
        <v>15</v>
      </c>
    </row>
    <row r="7" spans="1:16" ht="45" x14ac:dyDescent="0.25">
      <c r="E7">
        <v>162</v>
      </c>
      <c r="F7" s="2" t="s">
        <v>204</v>
      </c>
      <c r="G7">
        <v>230</v>
      </c>
      <c r="M7">
        <v>19</v>
      </c>
    </row>
    <row r="8" spans="1:16" x14ac:dyDescent="0.25">
      <c r="C8" t="s">
        <v>202</v>
      </c>
      <c r="E8">
        <v>200</v>
      </c>
      <c r="F8" t="s">
        <v>205</v>
      </c>
      <c r="G8">
        <v>85</v>
      </c>
      <c r="J8" t="s">
        <v>209</v>
      </c>
      <c r="K8">
        <v>1070</v>
      </c>
      <c r="L8" t="s">
        <v>207</v>
      </c>
      <c r="M8">
        <v>1057</v>
      </c>
      <c r="O8" t="s">
        <v>8</v>
      </c>
      <c r="P8" t="s">
        <v>9</v>
      </c>
    </row>
    <row r="9" spans="1:16" x14ac:dyDescent="0.25">
      <c r="F9" t="s">
        <v>61</v>
      </c>
      <c r="G9">
        <v>140</v>
      </c>
      <c r="H9" t="s">
        <v>212</v>
      </c>
      <c r="I9">
        <v>1179</v>
      </c>
    </row>
    <row r="10" spans="1:16" x14ac:dyDescent="0.25">
      <c r="A10" t="s">
        <v>193</v>
      </c>
      <c r="F10" t="s">
        <v>206</v>
      </c>
      <c r="H10" t="s">
        <v>213</v>
      </c>
      <c r="I10">
        <f>290+266</f>
        <v>556</v>
      </c>
      <c r="O10" t="s">
        <v>196</v>
      </c>
    </row>
    <row r="11" spans="1:16" x14ac:dyDescent="0.25">
      <c r="A11" t="s">
        <v>194</v>
      </c>
      <c r="F11" t="s">
        <v>34</v>
      </c>
      <c r="G11">
        <f>40+20+50+25+30</f>
        <v>165</v>
      </c>
      <c r="O11" t="s">
        <v>195</v>
      </c>
      <c r="P11" t="s">
        <v>93</v>
      </c>
    </row>
    <row r="12" spans="1:16" x14ac:dyDescent="0.25">
      <c r="A12" t="s">
        <v>199</v>
      </c>
      <c r="E12">
        <v>162</v>
      </c>
      <c r="F12" t="s">
        <v>34</v>
      </c>
      <c r="G12">
        <f>15+55+60+50</f>
        <v>180</v>
      </c>
      <c r="L12" t="s">
        <v>211</v>
      </c>
      <c r="M12">
        <v>209</v>
      </c>
    </row>
    <row r="13" spans="1:16" x14ac:dyDescent="0.25">
      <c r="E13">
        <v>162</v>
      </c>
      <c r="F13" t="s">
        <v>34</v>
      </c>
      <c r="G13">
        <v>110</v>
      </c>
      <c r="M13">
        <v>99</v>
      </c>
    </row>
    <row r="14" spans="1:16" x14ac:dyDescent="0.25">
      <c r="E14">
        <v>162</v>
      </c>
      <c r="F14" t="s">
        <v>216</v>
      </c>
      <c r="G14">
        <v>500</v>
      </c>
    </row>
    <row r="15" spans="1:16" x14ac:dyDescent="0.25">
      <c r="E15">
        <v>162</v>
      </c>
    </row>
    <row r="16" spans="1:16" x14ac:dyDescent="0.25">
      <c r="E16">
        <v>310</v>
      </c>
      <c r="H16" t="s">
        <v>217</v>
      </c>
      <c r="I16">
        <v>531</v>
      </c>
      <c r="L16" t="s">
        <v>131</v>
      </c>
      <c r="M16">
        <v>600</v>
      </c>
    </row>
    <row r="18" spans="2:14" x14ac:dyDescent="0.25">
      <c r="F18" t="s">
        <v>34</v>
      </c>
      <c r="G18">
        <v>125</v>
      </c>
    </row>
    <row r="19" spans="2:14" x14ac:dyDescent="0.25">
      <c r="F19" t="s">
        <v>218</v>
      </c>
      <c r="G19">
        <v>720</v>
      </c>
    </row>
    <row r="20" spans="2:14" x14ac:dyDescent="0.25">
      <c r="E20">
        <v>162</v>
      </c>
    </row>
    <row r="21" spans="2:14" x14ac:dyDescent="0.25">
      <c r="E21">
        <v>162</v>
      </c>
      <c r="F21" t="s">
        <v>205</v>
      </c>
      <c r="G21">
        <v>70</v>
      </c>
    </row>
    <row r="22" spans="2:14" x14ac:dyDescent="0.25">
      <c r="E22">
        <v>162</v>
      </c>
    </row>
    <row r="23" spans="2:14" x14ac:dyDescent="0.25">
      <c r="E23">
        <v>162</v>
      </c>
    </row>
    <row r="27" spans="2:14" x14ac:dyDescent="0.25">
      <c r="E27">
        <v>80</v>
      </c>
      <c r="F27" t="s">
        <v>34</v>
      </c>
      <c r="G27">
        <v>140</v>
      </c>
    </row>
    <row r="28" spans="2:14" x14ac:dyDescent="0.25">
      <c r="E28">
        <v>162</v>
      </c>
    </row>
    <row r="29" spans="2:14" x14ac:dyDescent="0.25">
      <c r="E29">
        <v>162</v>
      </c>
      <c r="F29" t="s">
        <v>223</v>
      </c>
      <c r="G29">
        <v>100</v>
      </c>
      <c r="J29" t="s">
        <v>225</v>
      </c>
    </row>
    <row r="30" spans="2:14" x14ac:dyDescent="0.25">
      <c r="E30">
        <v>162</v>
      </c>
      <c r="F30" t="s">
        <v>34</v>
      </c>
      <c r="G30">
        <v>135</v>
      </c>
      <c r="J30" t="s">
        <v>224</v>
      </c>
      <c r="K30">
        <v>4000</v>
      </c>
    </row>
    <row r="31" spans="2:14" x14ac:dyDescent="0.25">
      <c r="B31">
        <f t="shared" ref="B31:M31" si="0">SUM(B2:B30)</f>
        <v>36040</v>
      </c>
      <c r="D31">
        <f t="shared" si="0"/>
        <v>32460</v>
      </c>
      <c r="E31">
        <f t="shared" si="0"/>
        <v>3020</v>
      </c>
      <c r="G31">
        <f>G33-3000</f>
        <v>260</v>
      </c>
      <c r="I31">
        <f t="shared" si="0"/>
        <v>2266</v>
      </c>
      <c r="K31">
        <f t="shared" si="0"/>
        <v>5571</v>
      </c>
      <c r="M31">
        <f t="shared" si="0"/>
        <v>5037</v>
      </c>
      <c r="N31" s="1">
        <f>SUM(A31:M32)</f>
        <v>84654</v>
      </c>
    </row>
    <row r="33" spans="6:7" x14ac:dyDescent="0.25">
      <c r="F33" t="s">
        <v>210</v>
      </c>
      <c r="G33">
        <f>SUM(G2:G30)</f>
        <v>3260</v>
      </c>
    </row>
    <row r="34" spans="6:7" x14ac:dyDescent="0.25">
      <c r="F34" t="s">
        <v>221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5656-B77B-47D9-A72F-7315BD08D976}">
  <dimension ref="A1:P35"/>
  <sheetViews>
    <sheetView workbookViewId="0">
      <pane ySplit="1" topLeftCell="A20" activePane="bottomLeft" state="frozen"/>
      <selection pane="bottomLeft" activeCell="G37" sqref="G37"/>
    </sheetView>
  </sheetViews>
  <sheetFormatPr defaultRowHeight="15" x14ac:dyDescent="0.25"/>
  <cols>
    <col min="1" max="1" width="16.85546875" customWidth="1"/>
    <col min="3" max="3" width="13.42578125" customWidth="1"/>
    <col min="5" max="5" width="17.7109375" customWidth="1"/>
    <col min="6" max="6" width="13.140625" customWidth="1"/>
    <col min="8" max="8" width="21.5703125" customWidth="1"/>
    <col min="10" max="10" width="15.140625" customWidth="1"/>
    <col min="12" max="12" width="18.85546875" customWidth="1"/>
    <col min="13" max="13" width="10.28515625" customWidth="1"/>
    <col min="14" max="14" width="9" customWidth="1"/>
    <col min="15" max="15" width="10.425781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91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14</v>
      </c>
      <c r="B2">
        <v>7000</v>
      </c>
      <c r="C2" t="s">
        <v>21</v>
      </c>
      <c r="D2">
        <v>32000</v>
      </c>
      <c r="F2" t="s">
        <v>18</v>
      </c>
      <c r="G2">
        <v>160</v>
      </c>
      <c r="J2" t="s">
        <v>226</v>
      </c>
      <c r="K2">
        <v>20</v>
      </c>
      <c r="L2" t="s">
        <v>22</v>
      </c>
      <c r="M2">
        <v>3000</v>
      </c>
    </row>
    <row r="3" spans="1:16" x14ac:dyDescent="0.25">
      <c r="A3" t="s">
        <v>15</v>
      </c>
      <c r="B3">
        <v>7040</v>
      </c>
      <c r="E3">
        <v>160</v>
      </c>
      <c r="F3" t="s">
        <v>166</v>
      </c>
      <c r="G3">
        <v>300</v>
      </c>
      <c r="O3" t="s">
        <v>7</v>
      </c>
      <c r="P3">
        <v>7000</v>
      </c>
    </row>
    <row r="4" spans="1:16" x14ac:dyDescent="0.25">
      <c r="A4" t="s">
        <v>16</v>
      </c>
      <c r="B4">
        <v>2000</v>
      </c>
      <c r="E4">
        <v>160</v>
      </c>
      <c r="F4" t="s">
        <v>34</v>
      </c>
      <c r="G4">
        <v>165</v>
      </c>
      <c r="H4" t="s">
        <v>227</v>
      </c>
      <c r="I4">
        <v>349</v>
      </c>
      <c r="J4" t="s">
        <v>228</v>
      </c>
      <c r="K4">
        <v>28</v>
      </c>
    </row>
    <row r="5" spans="1:16" x14ac:dyDescent="0.25">
      <c r="A5" t="s">
        <v>58</v>
      </c>
      <c r="B5">
        <v>4000</v>
      </c>
      <c r="E5">
        <v>160</v>
      </c>
      <c r="F5" t="s">
        <v>229</v>
      </c>
      <c r="G5">
        <v>40</v>
      </c>
    </row>
    <row r="6" spans="1:16" x14ac:dyDescent="0.25">
      <c r="A6" t="s">
        <v>148</v>
      </c>
      <c r="B6">
        <v>14000</v>
      </c>
      <c r="E6">
        <v>160</v>
      </c>
      <c r="F6" t="s">
        <v>230</v>
      </c>
      <c r="G6">
        <v>100</v>
      </c>
      <c r="H6" t="s">
        <v>232</v>
      </c>
      <c r="I6">
        <v>999</v>
      </c>
    </row>
    <row r="7" spans="1:16" x14ac:dyDescent="0.25">
      <c r="C7" t="s">
        <v>235</v>
      </c>
      <c r="E7">
        <v>500</v>
      </c>
      <c r="F7" t="s">
        <v>231</v>
      </c>
      <c r="G7">
        <v>100</v>
      </c>
      <c r="H7" t="s">
        <v>234</v>
      </c>
      <c r="I7">
        <v>79</v>
      </c>
      <c r="J7" t="s">
        <v>233</v>
      </c>
      <c r="K7">
        <v>604</v>
      </c>
    </row>
    <row r="8" spans="1:16" x14ac:dyDescent="0.25">
      <c r="E8">
        <v>280</v>
      </c>
      <c r="F8" t="s">
        <v>46</v>
      </c>
      <c r="G8">
        <v>100</v>
      </c>
      <c r="J8" t="s">
        <v>237</v>
      </c>
      <c r="K8">
        <v>150</v>
      </c>
    </row>
    <row r="9" spans="1:16" x14ac:dyDescent="0.25">
      <c r="E9">
        <v>160</v>
      </c>
      <c r="J9" t="s">
        <v>236</v>
      </c>
      <c r="K9">
        <v>2000</v>
      </c>
    </row>
    <row r="10" spans="1:16" x14ac:dyDescent="0.25">
      <c r="A10" t="s">
        <v>249</v>
      </c>
      <c r="E10">
        <v>160</v>
      </c>
      <c r="F10" t="s">
        <v>243</v>
      </c>
      <c r="G10">
        <v>80</v>
      </c>
    </row>
    <row r="11" spans="1:16" x14ac:dyDescent="0.25">
      <c r="A11" t="s">
        <v>215</v>
      </c>
      <c r="E11">
        <v>160</v>
      </c>
      <c r="F11" t="s">
        <v>34</v>
      </c>
      <c r="G11">
        <v>235</v>
      </c>
      <c r="O11" t="s">
        <v>196</v>
      </c>
    </row>
    <row r="12" spans="1:16" x14ac:dyDescent="0.25">
      <c r="A12" t="s">
        <v>214</v>
      </c>
      <c r="E12">
        <v>160</v>
      </c>
      <c r="F12" t="s">
        <v>223</v>
      </c>
      <c r="G12">
        <v>100</v>
      </c>
      <c r="O12" t="s">
        <v>195</v>
      </c>
      <c r="P12" t="s">
        <v>93</v>
      </c>
    </row>
    <row r="13" spans="1:16" x14ac:dyDescent="0.25">
      <c r="F13" t="s">
        <v>205</v>
      </c>
      <c r="G13">
        <v>70</v>
      </c>
      <c r="J13" t="s">
        <v>239</v>
      </c>
      <c r="K13">
        <v>500</v>
      </c>
      <c r="L13" t="s">
        <v>219</v>
      </c>
      <c r="M13">
        <v>1217</v>
      </c>
    </row>
    <row r="14" spans="1:16" x14ac:dyDescent="0.25">
      <c r="F14" t="s">
        <v>241</v>
      </c>
      <c r="G14">
        <v>90</v>
      </c>
    </row>
    <row r="15" spans="1:16" x14ac:dyDescent="0.25">
      <c r="F15" t="s">
        <v>242</v>
      </c>
      <c r="G15">
        <v>126</v>
      </c>
      <c r="J15" t="s">
        <v>240</v>
      </c>
      <c r="K15">
        <v>500</v>
      </c>
      <c r="L15" t="s">
        <v>53</v>
      </c>
      <c r="M15">
        <v>207</v>
      </c>
    </row>
    <row r="16" spans="1:16" x14ac:dyDescent="0.25">
      <c r="E16">
        <v>160</v>
      </c>
      <c r="L16" t="s">
        <v>80</v>
      </c>
      <c r="M16">
        <v>99</v>
      </c>
    </row>
    <row r="17" spans="2:16" x14ac:dyDescent="0.25">
      <c r="E17">
        <v>160</v>
      </c>
      <c r="F17" t="s">
        <v>34</v>
      </c>
      <c r="G17">
        <v>85</v>
      </c>
      <c r="M17">
        <v>15</v>
      </c>
    </row>
    <row r="18" spans="2:16" x14ac:dyDescent="0.25">
      <c r="E18">
        <v>160</v>
      </c>
      <c r="F18" t="s">
        <v>244</v>
      </c>
      <c r="G18">
        <v>50</v>
      </c>
      <c r="J18" t="s">
        <v>246</v>
      </c>
      <c r="K18">
        <v>2481</v>
      </c>
    </row>
    <row r="19" spans="2:16" x14ac:dyDescent="0.25">
      <c r="E19">
        <v>160</v>
      </c>
      <c r="F19" t="s">
        <v>245</v>
      </c>
      <c r="G19">
        <v>60</v>
      </c>
    </row>
    <row r="20" spans="2:16" x14ac:dyDescent="0.25">
      <c r="F20" t="s">
        <v>198</v>
      </c>
      <c r="G20">
        <v>800</v>
      </c>
      <c r="J20" t="s">
        <v>247</v>
      </c>
      <c r="K20">
        <v>144</v>
      </c>
      <c r="O20" t="s">
        <v>251</v>
      </c>
      <c r="P20" t="s">
        <v>252</v>
      </c>
    </row>
    <row r="21" spans="2:16" x14ac:dyDescent="0.25">
      <c r="F21" t="s">
        <v>253</v>
      </c>
      <c r="G21">
        <v>90</v>
      </c>
    </row>
    <row r="22" spans="2:16" x14ac:dyDescent="0.25">
      <c r="F22" t="s">
        <v>254</v>
      </c>
      <c r="G22">
        <v>105</v>
      </c>
      <c r="O22" t="s">
        <v>257</v>
      </c>
    </row>
    <row r="23" spans="2:16" x14ac:dyDescent="0.25">
      <c r="E23">
        <v>160</v>
      </c>
      <c r="F23" t="s">
        <v>34</v>
      </c>
      <c r="G23">
        <v>200</v>
      </c>
      <c r="H23" t="s">
        <v>256</v>
      </c>
      <c r="I23">
        <v>973</v>
      </c>
    </row>
    <row r="24" spans="2:16" ht="45" x14ac:dyDescent="0.25">
      <c r="E24">
        <v>160</v>
      </c>
      <c r="F24" s="2" t="s">
        <v>255</v>
      </c>
      <c r="G24">
        <v>476</v>
      </c>
    </row>
    <row r="25" spans="2:16" x14ac:dyDescent="0.25">
      <c r="E25">
        <v>160</v>
      </c>
      <c r="F25" t="s">
        <v>34</v>
      </c>
      <c r="G25">
        <v>130</v>
      </c>
      <c r="H25" t="s">
        <v>238</v>
      </c>
      <c r="I25">
        <v>1100</v>
      </c>
    </row>
    <row r="26" spans="2:16" x14ac:dyDescent="0.25">
      <c r="E26">
        <v>160</v>
      </c>
      <c r="F26" t="s">
        <v>258</v>
      </c>
      <c r="G26">
        <v>100</v>
      </c>
      <c r="H26" t="s">
        <v>261</v>
      </c>
      <c r="L26" t="s">
        <v>260</v>
      </c>
      <c r="M26">
        <v>269</v>
      </c>
    </row>
    <row r="27" spans="2:16" x14ac:dyDescent="0.25">
      <c r="C27" t="s">
        <v>264</v>
      </c>
      <c r="E27">
        <f>262+117+170</f>
        <v>549</v>
      </c>
      <c r="F27" t="s">
        <v>205</v>
      </c>
      <c r="G27">
        <v>70</v>
      </c>
      <c r="H27" t="s">
        <v>259</v>
      </c>
      <c r="I27">
        <v>303</v>
      </c>
      <c r="M27">
        <v>19</v>
      </c>
    </row>
    <row r="28" spans="2:16" x14ac:dyDescent="0.25">
      <c r="C28" t="s">
        <v>266</v>
      </c>
      <c r="E28">
        <f>77+76</f>
        <v>153</v>
      </c>
      <c r="J28" t="s">
        <v>265</v>
      </c>
      <c r="K28">
        <v>767</v>
      </c>
      <c r="M28">
        <v>19</v>
      </c>
    </row>
    <row r="29" spans="2:16" x14ac:dyDescent="0.25">
      <c r="H29" t="s">
        <v>262</v>
      </c>
      <c r="I29">
        <v>5000</v>
      </c>
      <c r="M29">
        <v>19</v>
      </c>
    </row>
    <row r="30" spans="2:16" x14ac:dyDescent="0.25">
      <c r="H30" t="s">
        <v>263</v>
      </c>
      <c r="I30">
        <v>6000</v>
      </c>
    </row>
    <row r="32" spans="2:16" x14ac:dyDescent="0.25">
      <c r="B32">
        <f>SUM(B2:B31)</f>
        <v>34040</v>
      </c>
      <c r="D32">
        <f>SUM(D2:D31)</f>
        <v>32000</v>
      </c>
      <c r="E32">
        <f t="shared" ref="E32:M32" si="0">SUM(E2:E31)</f>
        <v>4042</v>
      </c>
      <c r="G32">
        <f>(G34-3500)</f>
        <v>332</v>
      </c>
      <c r="I32">
        <f t="shared" si="0"/>
        <v>14803</v>
      </c>
      <c r="K32">
        <f t="shared" si="0"/>
        <v>7194</v>
      </c>
      <c r="M32">
        <f t="shared" si="0"/>
        <v>4864</v>
      </c>
      <c r="N32" s="1">
        <f>SUM(B32:M32)</f>
        <v>97275</v>
      </c>
    </row>
    <row r="34" spans="6:7" x14ac:dyDescent="0.25">
      <c r="F34" t="s">
        <v>220</v>
      </c>
      <c r="G34">
        <f>SUM(G2:G31)</f>
        <v>3832</v>
      </c>
    </row>
    <row r="35" spans="6:7" x14ac:dyDescent="0.25">
      <c r="F35" t="s">
        <v>222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F8A2-03FD-44C2-A91D-813E8DF1E19D}">
  <dimension ref="A1:O34"/>
  <sheetViews>
    <sheetView topLeftCell="C1" workbookViewId="0">
      <pane ySplit="1" topLeftCell="A22" activePane="bottomLeft" state="frozen"/>
      <selection activeCell="B1" sqref="B1"/>
      <selection pane="bottomLeft" activeCell="I27" sqref="I27"/>
    </sheetView>
  </sheetViews>
  <sheetFormatPr defaultRowHeight="15" x14ac:dyDescent="0.25"/>
  <cols>
    <col min="1" max="1" width="15.42578125" customWidth="1"/>
    <col min="2" max="2" width="9.28515625" customWidth="1"/>
    <col min="3" max="3" width="25.140625" customWidth="1"/>
    <col min="5" max="5" width="16.7109375" customWidth="1"/>
    <col min="6" max="6" width="20.28515625" customWidth="1"/>
    <col min="8" max="8" width="23.42578125" customWidth="1"/>
    <col min="10" max="10" width="15.85546875" customWidth="1"/>
    <col min="12" max="12" width="21.42578125" customWidth="1"/>
    <col min="14" max="14" width="9.8554687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91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14</v>
      </c>
      <c r="B2">
        <v>11000</v>
      </c>
      <c r="C2" t="s">
        <v>18</v>
      </c>
      <c r="D2">
        <v>160</v>
      </c>
      <c r="E2">
        <v>103</v>
      </c>
      <c r="F2" t="s">
        <v>270</v>
      </c>
      <c r="G2">
        <v>80</v>
      </c>
      <c r="H2" t="s">
        <v>269</v>
      </c>
      <c r="I2">
        <v>240</v>
      </c>
      <c r="J2" t="s">
        <v>22</v>
      </c>
      <c r="K2">
        <v>3000</v>
      </c>
    </row>
    <row r="3" spans="1:15" x14ac:dyDescent="0.25">
      <c r="A3" t="s">
        <v>15</v>
      </c>
      <c r="B3">
        <v>7040</v>
      </c>
      <c r="C3" t="s">
        <v>166</v>
      </c>
      <c r="D3">
        <v>300</v>
      </c>
      <c r="E3">
        <v>160</v>
      </c>
      <c r="F3" t="s">
        <v>271</v>
      </c>
      <c r="G3">
        <v>280</v>
      </c>
    </row>
    <row r="4" spans="1:15" x14ac:dyDescent="0.25">
      <c r="A4" t="s">
        <v>16</v>
      </c>
      <c r="B4">
        <v>2000</v>
      </c>
      <c r="C4" t="s">
        <v>21</v>
      </c>
      <c r="D4">
        <v>36300</v>
      </c>
      <c r="E4">
        <v>160</v>
      </c>
      <c r="F4" t="s">
        <v>272</v>
      </c>
      <c r="G4">
        <v>10</v>
      </c>
      <c r="H4" t="s">
        <v>276</v>
      </c>
      <c r="I4">
        <v>500</v>
      </c>
      <c r="L4" t="s">
        <v>275</v>
      </c>
      <c r="M4">
        <v>2300</v>
      </c>
    </row>
    <row r="5" spans="1:15" x14ac:dyDescent="0.25">
      <c r="A5" t="s">
        <v>58</v>
      </c>
      <c r="B5">
        <v>4000</v>
      </c>
      <c r="C5" t="s">
        <v>274</v>
      </c>
      <c r="D5">
        <v>1500</v>
      </c>
      <c r="E5">
        <v>160</v>
      </c>
      <c r="F5" t="s">
        <v>34</v>
      </c>
      <c r="G5">
        <v>75</v>
      </c>
      <c r="H5" t="s">
        <v>278</v>
      </c>
      <c r="I5">
        <v>70</v>
      </c>
      <c r="L5" t="s">
        <v>279</v>
      </c>
      <c r="M5">
        <v>200</v>
      </c>
    </row>
    <row r="6" spans="1:15" x14ac:dyDescent="0.25">
      <c r="A6" t="s">
        <v>248</v>
      </c>
      <c r="B6">
        <v>28000</v>
      </c>
      <c r="C6" t="s">
        <v>282</v>
      </c>
      <c r="E6">
        <f>80+427</f>
        <v>507</v>
      </c>
      <c r="F6" t="s">
        <v>277</v>
      </c>
      <c r="G6">
        <v>110</v>
      </c>
    </row>
    <row r="7" spans="1:15" x14ac:dyDescent="0.25">
      <c r="E7">
        <v>210</v>
      </c>
      <c r="F7" t="s">
        <v>280</v>
      </c>
      <c r="G7">
        <v>410</v>
      </c>
      <c r="N7" t="s">
        <v>257</v>
      </c>
    </row>
    <row r="8" spans="1:15" x14ac:dyDescent="0.25">
      <c r="C8" t="s">
        <v>145</v>
      </c>
      <c r="E8">
        <v>10</v>
      </c>
      <c r="F8" t="s">
        <v>281</v>
      </c>
      <c r="G8">
        <v>90</v>
      </c>
      <c r="J8" t="s">
        <v>285</v>
      </c>
      <c r="K8">
        <v>561</v>
      </c>
    </row>
    <row r="9" spans="1:15" x14ac:dyDescent="0.25">
      <c r="F9" t="s">
        <v>34</v>
      </c>
      <c r="G9">
        <f>70+15</f>
        <v>85</v>
      </c>
      <c r="N9" t="s">
        <v>7</v>
      </c>
      <c r="O9">
        <v>7000</v>
      </c>
    </row>
    <row r="10" spans="1:15" x14ac:dyDescent="0.25">
      <c r="C10" t="s">
        <v>283</v>
      </c>
      <c r="D10">
        <f>15000+5500</f>
        <v>20500</v>
      </c>
      <c r="F10" t="s">
        <v>286</v>
      </c>
      <c r="G10">
        <v>90</v>
      </c>
    </row>
    <row r="11" spans="1:15" x14ac:dyDescent="0.25">
      <c r="A11" t="s">
        <v>302</v>
      </c>
      <c r="E11">
        <v>160</v>
      </c>
      <c r="F11" t="s">
        <v>287</v>
      </c>
      <c r="G11">
        <v>260</v>
      </c>
      <c r="J11" t="s">
        <v>288</v>
      </c>
      <c r="K11">
        <v>67</v>
      </c>
    </row>
    <row r="12" spans="1:15" x14ac:dyDescent="0.25">
      <c r="A12" t="s">
        <v>250</v>
      </c>
      <c r="E12">
        <v>160</v>
      </c>
      <c r="F12" t="s">
        <v>289</v>
      </c>
      <c r="G12">
        <v>294</v>
      </c>
      <c r="L12" t="s">
        <v>219</v>
      </c>
      <c r="M12">
        <v>957</v>
      </c>
    </row>
    <row r="13" spans="1:15" x14ac:dyDescent="0.25">
      <c r="A13" t="s">
        <v>214</v>
      </c>
      <c r="E13">
        <v>160</v>
      </c>
      <c r="F13" t="s">
        <v>290</v>
      </c>
      <c r="G13">
        <v>50</v>
      </c>
      <c r="N13" t="s">
        <v>196</v>
      </c>
    </row>
    <row r="14" spans="1:15" x14ac:dyDescent="0.25">
      <c r="E14">
        <v>210</v>
      </c>
      <c r="F14" t="s">
        <v>34</v>
      </c>
      <c r="G14">
        <v>120</v>
      </c>
      <c r="L14" t="s">
        <v>53</v>
      </c>
      <c r="M14">
        <v>207</v>
      </c>
      <c r="N14" t="s">
        <v>195</v>
      </c>
      <c r="O14">
        <v>20500</v>
      </c>
    </row>
    <row r="15" spans="1:15" x14ac:dyDescent="0.25">
      <c r="F15" t="s">
        <v>303</v>
      </c>
      <c r="G15">
        <v>100</v>
      </c>
      <c r="H15" t="s">
        <v>292</v>
      </c>
      <c r="I15">
        <v>1600</v>
      </c>
      <c r="J15" t="s">
        <v>294</v>
      </c>
      <c r="K15">
        <v>6000</v>
      </c>
      <c r="L15" t="s">
        <v>80</v>
      </c>
      <c r="M15">
        <v>99</v>
      </c>
      <c r="N15" t="s">
        <v>273</v>
      </c>
      <c r="O15" t="s">
        <v>252</v>
      </c>
    </row>
    <row r="16" spans="1:15" x14ac:dyDescent="0.25">
      <c r="F16" t="s">
        <v>295</v>
      </c>
      <c r="G16">
        <v>300</v>
      </c>
      <c r="J16" t="s">
        <v>293</v>
      </c>
    </row>
    <row r="17" spans="2:14" x14ac:dyDescent="0.25">
      <c r="H17" t="s">
        <v>296</v>
      </c>
      <c r="I17">
        <v>600</v>
      </c>
    </row>
    <row r="18" spans="2:14" ht="30" x14ac:dyDescent="0.25">
      <c r="E18">
        <v>160</v>
      </c>
      <c r="F18" t="s">
        <v>34</v>
      </c>
      <c r="G18">
        <v>130</v>
      </c>
      <c r="H18" t="s">
        <v>299</v>
      </c>
      <c r="I18">
        <v>950</v>
      </c>
      <c r="J18" s="2" t="s">
        <v>297</v>
      </c>
      <c r="K18">
        <v>850</v>
      </c>
    </row>
    <row r="19" spans="2:14" x14ac:dyDescent="0.25">
      <c r="E19">
        <v>160</v>
      </c>
      <c r="F19" t="s">
        <v>305</v>
      </c>
      <c r="G19">
        <v>100</v>
      </c>
      <c r="H19" t="s">
        <v>300</v>
      </c>
      <c r="I19">
        <f>618+426+126</f>
        <v>1170</v>
      </c>
    </row>
    <row r="20" spans="2:14" x14ac:dyDescent="0.25">
      <c r="E20">
        <v>160</v>
      </c>
      <c r="J20" t="s">
        <v>298</v>
      </c>
      <c r="K20">
        <v>871</v>
      </c>
    </row>
    <row r="21" spans="2:14" x14ac:dyDescent="0.25">
      <c r="E21">
        <v>160</v>
      </c>
      <c r="H21" t="s">
        <v>301</v>
      </c>
      <c r="I21">
        <f>999+499</f>
        <v>1498</v>
      </c>
    </row>
    <row r="22" spans="2:14" x14ac:dyDescent="0.25">
      <c r="E22">
        <v>280</v>
      </c>
      <c r="F22" t="s">
        <v>34</v>
      </c>
      <c r="G22">
        <v>205</v>
      </c>
      <c r="H22" t="s">
        <v>291</v>
      </c>
      <c r="I22">
        <v>1619</v>
      </c>
      <c r="J22" t="s">
        <v>304</v>
      </c>
      <c r="K22">
        <v>500</v>
      </c>
    </row>
    <row r="23" spans="2:14" x14ac:dyDescent="0.25">
      <c r="F23" t="s">
        <v>306</v>
      </c>
      <c r="G23">
        <v>35</v>
      </c>
      <c r="H23" t="s">
        <v>319</v>
      </c>
      <c r="I23">
        <v>1200</v>
      </c>
      <c r="J23" t="s">
        <v>246</v>
      </c>
      <c r="K23">
        <v>266</v>
      </c>
    </row>
    <row r="25" spans="2:14" x14ac:dyDescent="0.25">
      <c r="E25">
        <v>160</v>
      </c>
      <c r="J25" t="s">
        <v>304</v>
      </c>
      <c r="K25">
        <v>500</v>
      </c>
    </row>
    <row r="26" spans="2:14" x14ac:dyDescent="0.25">
      <c r="E26">
        <v>160</v>
      </c>
      <c r="J26" t="s">
        <v>246</v>
      </c>
      <c r="K26">
        <v>118</v>
      </c>
    </row>
    <row r="27" spans="2:14" x14ac:dyDescent="0.25">
      <c r="E27">
        <v>160</v>
      </c>
    </row>
    <row r="28" spans="2:14" x14ac:dyDescent="0.25">
      <c r="E28">
        <v>160</v>
      </c>
      <c r="F28" t="s">
        <v>34</v>
      </c>
      <c r="G28">
        <f>85+85</f>
        <v>170</v>
      </c>
    </row>
    <row r="32" spans="2:14" x14ac:dyDescent="0.25">
      <c r="B32">
        <f>SUM(B2:B31)</f>
        <v>52040</v>
      </c>
      <c r="D32">
        <f t="shared" ref="D32:M32" si="0">SUM(D2:D31)</f>
        <v>58760</v>
      </c>
      <c r="E32">
        <f t="shared" si="0"/>
        <v>3560</v>
      </c>
      <c r="G32">
        <f t="shared" si="0"/>
        <v>2994</v>
      </c>
      <c r="I32">
        <f t="shared" si="0"/>
        <v>9447</v>
      </c>
      <c r="K32">
        <f t="shared" si="0"/>
        <v>12733</v>
      </c>
      <c r="M32">
        <f t="shared" si="0"/>
        <v>3763</v>
      </c>
      <c r="N32" s="1">
        <f>SUM(B32:M32)</f>
        <v>143297</v>
      </c>
    </row>
    <row r="34" spans="6:6" x14ac:dyDescent="0.25">
      <c r="F34" t="s">
        <v>284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A7F5-5407-4BCD-92BB-ACD55ED074AD}">
  <dimension ref="A1:O33"/>
  <sheetViews>
    <sheetView workbookViewId="0">
      <pane ySplit="1" topLeftCell="A14" activePane="bottomLeft" state="frozen"/>
      <selection pane="bottomLeft" activeCell="H39" sqref="H39"/>
    </sheetView>
  </sheetViews>
  <sheetFormatPr defaultRowHeight="15" x14ac:dyDescent="0.25"/>
  <cols>
    <col min="1" max="1" width="18" customWidth="1"/>
    <col min="3" max="3" width="15.7109375" customWidth="1"/>
    <col min="5" max="5" width="19.85546875" customWidth="1"/>
    <col min="6" max="6" width="14.42578125" customWidth="1"/>
    <col min="8" max="8" width="18.85546875" customWidth="1"/>
    <col min="10" max="10" width="12" customWidth="1"/>
    <col min="12" max="12" width="17.5703125" customWidth="1"/>
    <col min="14" max="14" width="15.285156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317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14</v>
      </c>
      <c r="B2">
        <v>10000</v>
      </c>
      <c r="C2" t="s">
        <v>18</v>
      </c>
      <c r="D2">
        <v>160</v>
      </c>
      <c r="J2" t="s">
        <v>22</v>
      </c>
      <c r="K2">
        <v>3000</v>
      </c>
    </row>
    <row r="3" spans="1:15" x14ac:dyDescent="0.25">
      <c r="A3" t="s">
        <v>15</v>
      </c>
      <c r="B3">
        <v>7040</v>
      </c>
      <c r="C3" t="s">
        <v>166</v>
      </c>
      <c r="D3">
        <v>300</v>
      </c>
      <c r="E3">
        <v>160</v>
      </c>
      <c r="F3" t="s">
        <v>34</v>
      </c>
      <c r="G3">
        <v>140</v>
      </c>
      <c r="H3" t="s">
        <v>310</v>
      </c>
      <c r="I3">
        <f>167+300+500+730+1200+660+363+2766+220+283+406+2000+20+300</f>
        <v>9915</v>
      </c>
    </row>
    <row r="4" spans="1:15" x14ac:dyDescent="0.25">
      <c r="A4" t="s">
        <v>16</v>
      </c>
      <c r="B4">
        <v>2000</v>
      </c>
      <c r="C4" t="s">
        <v>21</v>
      </c>
      <c r="D4">
        <v>36300</v>
      </c>
      <c r="E4">
        <v>160</v>
      </c>
    </row>
    <row r="5" spans="1:15" x14ac:dyDescent="0.25">
      <c r="A5" t="s">
        <v>58</v>
      </c>
      <c r="B5">
        <v>4000</v>
      </c>
      <c r="E5">
        <v>310</v>
      </c>
      <c r="F5" t="s">
        <v>314</v>
      </c>
      <c r="G5">
        <v>80</v>
      </c>
      <c r="H5" t="s">
        <v>312</v>
      </c>
      <c r="I5">
        <v>3830</v>
      </c>
      <c r="J5" t="s">
        <v>313</v>
      </c>
      <c r="K5">
        <f>1088+350</f>
        <v>1438</v>
      </c>
      <c r="M5">
        <v>19</v>
      </c>
    </row>
    <row r="6" spans="1:15" x14ac:dyDescent="0.25">
      <c r="C6" t="s">
        <v>309</v>
      </c>
      <c r="D6">
        <v>50000</v>
      </c>
      <c r="E6">
        <v>160</v>
      </c>
      <c r="H6" t="s">
        <v>276</v>
      </c>
      <c r="I6">
        <v>750</v>
      </c>
      <c r="N6" t="s">
        <v>257</v>
      </c>
    </row>
    <row r="7" spans="1:15" x14ac:dyDescent="0.25">
      <c r="F7" t="s">
        <v>34</v>
      </c>
      <c r="G7">
        <v>50</v>
      </c>
    </row>
    <row r="8" spans="1:15" x14ac:dyDescent="0.25">
      <c r="N8" t="s">
        <v>7</v>
      </c>
      <c r="O8">
        <v>7000</v>
      </c>
    </row>
    <row r="9" spans="1:15" x14ac:dyDescent="0.25">
      <c r="J9" t="s">
        <v>315</v>
      </c>
      <c r="K9">
        <v>200</v>
      </c>
    </row>
    <row r="10" spans="1:15" x14ac:dyDescent="0.25">
      <c r="F10" t="s">
        <v>299</v>
      </c>
      <c r="G10">
        <v>700</v>
      </c>
    </row>
    <row r="11" spans="1:15" x14ac:dyDescent="0.25">
      <c r="A11" t="s">
        <v>307</v>
      </c>
      <c r="E11">
        <v>160</v>
      </c>
      <c r="L11" t="s">
        <v>219</v>
      </c>
      <c r="M11">
        <v>1536</v>
      </c>
    </row>
    <row r="12" spans="1:15" x14ac:dyDescent="0.25">
      <c r="A12" t="s">
        <v>308</v>
      </c>
      <c r="E12">
        <v>160</v>
      </c>
      <c r="N12" t="s">
        <v>196</v>
      </c>
    </row>
    <row r="13" spans="1:15" x14ac:dyDescent="0.25">
      <c r="A13" t="s">
        <v>214</v>
      </c>
      <c r="F13" t="s">
        <v>325</v>
      </c>
      <c r="G13">
        <v>280</v>
      </c>
      <c r="L13" t="s">
        <v>53</v>
      </c>
      <c r="M13">
        <v>179</v>
      </c>
      <c r="N13" t="s">
        <v>195</v>
      </c>
      <c r="O13">
        <f>15000+5500</f>
        <v>20500</v>
      </c>
    </row>
    <row r="14" spans="1:15" x14ac:dyDescent="0.25">
      <c r="E14">
        <v>310</v>
      </c>
      <c r="L14" t="s">
        <v>80</v>
      </c>
      <c r="M14">
        <v>151</v>
      </c>
      <c r="N14" t="s">
        <v>273</v>
      </c>
      <c r="O14" t="s">
        <v>252</v>
      </c>
    </row>
    <row r="15" spans="1:15" x14ac:dyDescent="0.25">
      <c r="F15" t="s">
        <v>34</v>
      </c>
      <c r="G15">
        <v>190</v>
      </c>
      <c r="M15">
        <v>19</v>
      </c>
    </row>
    <row r="16" spans="1:15" x14ac:dyDescent="0.25">
      <c r="F16" t="s">
        <v>36</v>
      </c>
      <c r="G16">
        <v>55</v>
      </c>
      <c r="O16" s="1">
        <v>70500</v>
      </c>
    </row>
    <row r="17" spans="2:14" x14ac:dyDescent="0.25">
      <c r="F17" t="s">
        <v>318</v>
      </c>
      <c r="G17">
        <v>280</v>
      </c>
    </row>
    <row r="18" spans="2:14" x14ac:dyDescent="0.25">
      <c r="E18">
        <v>160</v>
      </c>
      <c r="F18" t="s">
        <v>68</v>
      </c>
      <c r="G18">
        <v>50</v>
      </c>
    </row>
    <row r="19" spans="2:14" x14ac:dyDescent="0.25">
      <c r="E19">
        <v>160</v>
      </c>
      <c r="H19" t="s">
        <v>316</v>
      </c>
      <c r="I19">
        <v>708</v>
      </c>
    </row>
    <row r="20" spans="2:14" x14ac:dyDescent="0.25">
      <c r="E20">
        <v>160</v>
      </c>
    </row>
    <row r="21" spans="2:14" x14ac:dyDescent="0.25">
      <c r="E21">
        <v>160</v>
      </c>
      <c r="F21" t="s">
        <v>34</v>
      </c>
      <c r="G21">
        <v>175</v>
      </c>
    </row>
    <row r="22" spans="2:14" x14ac:dyDescent="0.25">
      <c r="E22">
        <v>280</v>
      </c>
      <c r="F22" t="s">
        <v>187</v>
      </c>
      <c r="G22">
        <v>512</v>
      </c>
    </row>
    <row r="23" spans="2:14" x14ac:dyDescent="0.25">
      <c r="F23" t="s">
        <v>34</v>
      </c>
      <c r="G23">
        <v>60</v>
      </c>
    </row>
    <row r="24" spans="2:14" x14ac:dyDescent="0.25">
      <c r="F24" t="s">
        <v>321</v>
      </c>
      <c r="G24">
        <v>300</v>
      </c>
    </row>
    <row r="25" spans="2:14" x14ac:dyDescent="0.25">
      <c r="E25">
        <v>160</v>
      </c>
      <c r="F25" t="s">
        <v>18</v>
      </c>
      <c r="G25">
        <v>160</v>
      </c>
    </row>
    <row r="26" spans="2:14" x14ac:dyDescent="0.25">
      <c r="E26">
        <v>160</v>
      </c>
      <c r="F26" t="s">
        <v>34</v>
      </c>
      <c r="G26">
        <v>250</v>
      </c>
    </row>
    <row r="27" spans="2:14" x14ac:dyDescent="0.25">
      <c r="E27">
        <v>160</v>
      </c>
      <c r="F27" t="s">
        <v>320</v>
      </c>
      <c r="G27">
        <v>300</v>
      </c>
    </row>
    <row r="28" spans="2:14" x14ac:dyDescent="0.25">
      <c r="E28">
        <v>160</v>
      </c>
    </row>
    <row r="29" spans="2:14" x14ac:dyDescent="0.25">
      <c r="F29" t="s">
        <v>327</v>
      </c>
      <c r="G29">
        <v>150</v>
      </c>
    </row>
    <row r="30" spans="2:14" x14ac:dyDescent="0.25">
      <c r="F30" t="s">
        <v>246</v>
      </c>
      <c r="G30">
        <v>260</v>
      </c>
      <c r="H30" t="s">
        <v>322</v>
      </c>
      <c r="I30">
        <v>100</v>
      </c>
    </row>
    <row r="31" spans="2:14" x14ac:dyDescent="0.25">
      <c r="B31">
        <f t="shared" ref="B31:M31" si="0">SUM(B2:B30)</f>
        <v>23040</v>
      </c>
      <c r="D31">
        <f t="shared" si="0"/>
        <v>86760</v>
      </c>
      <c r="E31">
        <f t="shared" si="0"/>
        <v>2980</v>
      </c>
      <c r="G31">
        <f>G32-3900</f>
        <v>92</v>
      </c>
      <c r="I31">
        <f t="shared" si="0"/>
        <v>15303</v>
      </c>
      <c r="K31">
        <f t="shared" si="0"/>
        <v>4638</v>
      </c>
      <c r="M31">
        <f t="shared" si="0"/>
        <v>1904</v>
      </c>
      <c r="N31" s="1">
        <f>SUM(B31:M31)</f>
        <v>134717</v>
      </c>
    </row>
    <row r="32" spans="2:14" x14ac:dyDescent="0.25">
      <c r="G32">
        <f>SUM(G2:G30)</f>
        <v>3992</v>
      </c>
    </row>
    <row r="33" spans="7:7" x14ac:dyDescent="0.25">
      <c r="G33" t="s">
        <v>311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619B-6B30-4CB4-821F-AA62EF4F2B4A}">
  <dimension ref="A1:O34"/>
  <sheetViews>
    <sheetView workbookViewId="0">
      <pane ySplit="1" topLeftCell="A10" activePane="bottomLeft" state="frozen"/>
      <selection activeCell="C1" sqref="C1"/>
      <selection pane="bottomLeft" activeCell="H27" sqref="H27"/>
    </sheetView>
  </sheetViews>
  <sheetFormatPr defaultRowHeight="15" x14ac:dyDescent="0.25"/>
  <cols>
    <col min="1" max="1" width="14.140625" customWidth="1"/>
    <col min="3" max="3" width="14.85546875" customWidth="1"/>
    <col min="5" max="5" width="25.28515625" customWidth="1"/>
    <col min="6" max="6" width="30.42578125" customWidth="1"/>
    <col min="7" max="7" width="11.140625" customWidth="1"/>
    <col min="8" max="8" width="19" customWidth="1"/>
    <col min="10" max="10" width="15.140625" customWidth="1"/>
    <col min="12" max="12" width="19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317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14</v>
      </c>
      <c r="B2">
        <v>10000</v>
      </c>
      <c r="C2" t="s">
        <v>21</v>
      </c>
      <c r="D2">
        <v>36300</v>
      </c>
      <c r="E2">
        <v>160</v>
      </c>
      <c r="F2" t="s">
        <v>329</v>
      </c>
      <c r="G2">
        <v>110</v>
      </c>
      <c r="H2" t="s">
        <v>326</v>
      </c>
      <c r="I2">
        <v>1704</v>
      </c>
      <c r="J2" t="s">
        <v>22</v>
      </c>
      <c r="K2">
        <v>3000</v>
      </c>
    </row>
    <row r="3" spans="1:15" x14ac:dyDescent="0.25">
      <c r="A3" t="s">
        <v>15</v>
      </c>
      <c r="B3">
        <v>7040</v>
      </c>
      <c r="E3">
        <v>160</v>
      </c>
      <c r="F3" t="s">
        <v>34</v>
      </c>
      <c r="G3">
        <v>180</v>
      </c>
    </row>
    <row r="4" spans="1:15" x14ac:dyDescent="0.25">
      <c r="A4" t="s">
        <v>16</v>
      </c>
      <c r="B4">
        <v>2000</v>
      </c>
      <c r="E4">
        <v>310</v>
      </c>
      <c r="F4" t="s">
        <v>113</v>
      </c>
      <c r="G4">
        <v>150</v>
      </c>
    </row>
    <row r="5" spans="1:15" x14ac:dyDescent="0.25">
      <c r="A5" t="s">
        <v>58</v>
      </c>
      <c r="B5">
        <v>4000</v>
      </c>
      <c r="E5">
        <v>200</v>
      </c>
      <c r="F5" t="s">
        <v>330</v>
      </c>
      <c r="G5">
        <v>100</v>
      </c>
      <c r="N5" t="s">
        <v>257</v>
      </c>
    </row>
    <row r="6" spans="1:15" x14ac:dyDescent="0.25">
      <c r="F6" t="s">
        <v>332</v>
      </c>
      <c r="G6">
        <v>120</v>
      </c>
      <c r="J6" t="s">
        <v>349</v>
      </c>
      <c r="K6">
        <v>170</v>
      </c>
    </row>
    <row r="7" spans="1:15" x14ac:dyDescent="0.25">
      <c r="F7" t="s">
        <v>333</v>
      </c>
      <c r="G7">
        <v>165</v>
      </c>
      <c r="J7" t="s">
        <v>334</v>
      </c>
      <c r="K7">
        <v>110</v>
      </c>
      <c r="N7" t="s">
        <v>7</v>
      </c>
      <c r="O7">
        <v>7000</v>
      </c>
    </row>
    <row r="8" spans="1:15" x14ac:dyDescent="0.25">
      <c r="E8">
        <v>160</v>
      </c>
      <c r="F8" t="s">
        <v>335</v>
      </c>
      <c r="G8">
        <v>1300</v>
      </c>
      <c r="J8" t="s">
        <v>331</v>
      </c>
      <c r="K8">
        <v>1568</v>
      </c>
    </row>
    <row r="9" spans="1:15" x14ac:dyDescent="0.25">
      <c r="E9">
        <v>160</v>
      </c>
      <c r="F9" t="s">
        <v>336</v>
      </c>
      <c r="G9">
        <v>80</v>
      </c>
    </row>
    <row r="10" spans="1:15" ht="30" x14ac:dyDescent="0.25">
      <c r="E10">
        <v>160</v>
      </c>
      <c r="F10" t="s">
        <v>34</v>
      </c>
      <c r="G10">
        <v>230</v>
      </c>
      <c r="H10" s="2" t="s">
        <v>337</v>
      </c>
      <c r="I10">
        <v>900</v>
      </c>
    </row>
    <row r="11" spans="1:15" x14ac:dyDescent="0.25">
      <c r="A11" t="s">
        <v>323</v>
      </c>
      <c r="E11">
        <v>310</v>
      </c>
      <c r="F11" t="s">
        <v>338</v>
      </c>
      <c r="G11">
        <v>72</v>
      </c>
      <c r="N11" t="s">
        <v>196</v>
      </c>
    </row>
    <row r="12" spans="1:15" x14ac:dyDescent="0.25">
      <c r="A12" t="s">
        <v>324</v>
      </c>
      <c r="E12">
        <v>160</v>
      </c>
      <c r="L12" t="s">
        <v>53</v>
      </c>
      <c r="M12">
        <v>179</v>
      </c>
      <c r="N12" t="s">
        <v>195</v>
      </c>
      <c r="O12">
        <f>15000+5500</f>
        <v>20500</v>
      </c>
    </row>
    <row r="13" spans="1:15" x14ac:dyDescent="0.25">
      <c r="A13" t="s">
        <v>214</v>
      </c>
      <c r="F13" t="s">
        <v>339</v>
      </c>
      <c r="G13">
        <v>100</v>
      </c>
      <c r="L13" t="s">
        <v>80</v>
      </c>
      <c r="M13">
        <v>179</v>
      </c>
      <c r="N13" t="s">
        <v>273</v>
      </c>
      <c r="O13" t="s">
        <v>252</v>
      </c>
    </row>
    <row r="14" spans="1:15" x14ac:dyDescent="0.25">
      <c r="F14" t="s">
        <v>71</v>
      </c>
      <c r="G14">
        <v>60</v>
      </c>
      <c r="M14">
        <v>19</v>
      </c>
    </row>
    <row r="15" spans="1:15" x14ac:dyDescent="0.25">
      <c r="E15">
        <v>305</v>
      </c>
      <c r="F15" t="s">
        <v>341</v>
      </c>
      <c r="G15">
        <v>25</v>
      </c>
      <c r="O15" s="1">
        <v>70500</v>
      </c>
    </row>
    <row r="16" spans="1:15" x14ac:dyDescent="0.25">
      <c r="E16">
        <v>160</v>
      </c>
      <c r="F16" t="s">
        <v>342</v>
      </c>
      <c r="G16">
        <v>40</v>
      </c>
    </row>
    <row r="17" spans="2:14" x14ac:dyDescent="0.25">
      <c r="E17">
        <v>160</v>
      </c>
      <c r="F17" t="s">
        <v>34</v>
      </c>
      <c r="G17">
        <f>40+25+20+30+40</f>
        <v>155</v>
      </c>
    </row>
    <row r="18" spans="2:14" ht="45" x14ac:dyDescent="0.25">
      <c r="E18">
        <v>310</v>
      </c>
      <c r="F18" t="s">
        <v>340</v>
      </c>
      <c r="G18">
        <v>50</v>
      </c>
      <c r="H18" s="2" t="s">
        <v>343</v>
      </c>
      <c r="I18">
        <v>440</v>
      </c>
    </row>
    <row r="19" spans="2:14" x14ac:dyDescent="0.25">
      <c r="E19">
        <v>160</v>
      </c>
      <c r="F19" t="s">
        <v>344</v>
      </c>
      <c r="G19">
        <v>90</v>
      </c>
    </row>
    <row r="20" spans="2:14" x14ac:dyDescent="0.25">
      <c r="E20">
        <v>160</v>
      </c>
      <c r="F20" t="s">
        <v>345</v>
      </c>
      <c r="G20">
        <v>135</v>
      </c>
    </row>
    <row r="21" spans="2:14" x14ac:dyDescent="0.25">
      <c r="F21" t="s">
        <v>34</v>
      </c>
      <c r="G21">
        <v>145</v>
      </c>
    </row>
    <row r="22" spans="2:14" x14ac:dyDescent="0.25">
      <c r="F22" t="s">
        <v>346</v>
      </c>
      <c r="G22">
        <v>80</v>
      </c>
    </row>
    <row r="23" spans="2:14" x14ac:dyDescent="0.25">
      <c r="F23" t="s">
        <v>347</v>
      </c>
      <c r="G23">
        <v>138</v>
      </c>
    </row>
    <row r="24" spans="2:14" x14ac:dyDescent="0.25">
      <c r="E24">
        <v>160</v>
      </c>
      <c r="F24" t="s">
        <v>348</v>
      </c>
      <c r="G24">
        <v>160</v>
      </c>
    </row>
    <row r="25" spans="2:14" x14ac:dyDescent="0.25">
      <c r="E25">
        <v>160</v>
      </c>
      <c r="F25" t="s">
        <v>352</v>
      </c>
      <c r="G25">
        <v>180</v>
      </c>
    </row>
    <row r="26" spans="2:14" x14ac:dyDescent="0.25">
      <c r="E26">
        <v>380</v>
      </c>
      <c r="F26" t="s">
        <v>66</v>
      </c>
      <c r="G26">
        <v>190</v>
      </c>
      <c r="L26" t="s">
        <v>219</v>
      </c>
      <c r="M26">
        <v>1267</v>
      </c>
    </row>
    <row r="27" spans="2:14" x14ac:dyDescent="0.25">
      <c r="E27">
        <v>160</v>
      </c>
      <c r="F27" t="s">
        <v>353</v>
      </c>
      <c r="G27">
        <v>60</v>
      </c>
    </row>
    <row r="28" spans="2:14" x14ac:dyDescent="0.25">
      <c r="E28">
        <v>160</v>
      </c>
      <c r="F28" t="s">
        <v>354</v>
      </c>
      <c r="G28">
        <v>30</v>
      </c>
    </row>
    <row r="29" spans="2:14" x14ac:dyDescent="0.25">
      <c r="F29" t="s">
        <v>322</v>
      </c>
      <c r="G29">
        <v>210</v>
      </c>
      <c r="H29" t="s">
        <v>357</v>
      </c>
      <c r="I29">
        <v>1600</v>
      </c>
      <c r="J29" t="s">
        <v>355</v>
      </c>
      <c r="K29">
        <v>69</v>
      </c>
    </row>
    <row r="30" spans="2:14" x14ac:dyDescent="0.25">
      <c r="F30" t="s">
        <v>353</v>
      </c>
      <c r="G30">
        <v>120</v>
      </c>
    </row>
    <row r="31" spans="2:14" x14ac:dyDescent="0.25">
      <c r="F31" t="s">
        <v>356</v>
      </c>
      <c r="G31">
        <f>58+150</f>
        <v>208</v>
      </c>
    </row>
    <row r="32" spans="2:14" x14ac:dyDescent="0.25">
      <c r="B32">
        <f>SUM(B2:B31)</f>
        <v>23040</v>
      </c>
      <c r="D32">
        <f t="shared" ref="D32:M32" si="0">SUM(D2:D31)</f>
        <v>36300</v>
      </c>
      <c r="E32">
        <f t="shared" si="0"/>
        <v>4055</v>
      </c>
      <c r="G32">
        <f>G34-3900</f>
        <v>783</v>
      </c>
      <c r="I32">
        <f t="shared" si="0"/>
        <v>4644</v>
      </c>
      <c r="K32">
        <f t="shared" si="0"/>
        <v>4917</v>
      </c>
      <c r="M32">
        <f t="shared" si="0"/>
        <v>1644</v>
      </c>
      <c r="N32" s="1">
        <f>SUM(B32:M32)</f>
        <v>75383</v>
      </c>
    </row>
    <row r="33" spans="7:7" x14ac:dyDescent="0.25">
      <c r="G33" t="s">
        <v>328</v>
      </c>
    </row>
    <row r="34" spans="7:7" x14ac:dyDescent="0.25">
      <c r="G34">
        <f>SUM(G2:G31)</f>
        <v>4683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DBF8-7160-4AEA-8E1A-78D36BC1F0E0}">
  <dimension ref="A1:O32"/>
  <sheetViews>
    <sheetView topLeftCell="C1" workbookViewId="0">
      <pane ySplit="1" topLeftCell="A15" activePane="bottomLeft" state="frozen"/>
      <selection pane="bottomLeft" activeCell="L40" sqref="L40"/>
    </sheetView>
  </sheetViews>
  <sheetFormatPr defaultRowHeight="15" x14ac:dyDescent="0.25"/>
  <cols>
    <col min="1" max="1" width="16" customWidth="1"/>
    <col min="3" max="3" width="14.5703125" customWidth="1"/>
    <col min="5" max="5" width="16.85546875" customWidth="1"/>
    <col min="6" max="6" width="27" customWidth="1"/>
    <col min="8" max="8" width="24" customWidth="1"/>
    <col min="10" max="10" width="20.5703125" customWidth="1"/>
    <col min="12" max="12" width="16.7109375" customWidth="1"/>
    <col min="14" max="14" width="12.14062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374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5" x14ac:dyDescent="0.25">
      <c r="A2" t="s">
        <v>14</v>
      </c>
      <c r="B2">
        <v>10000</v>
      </c>
      <c r="C2" t="s">
        <v>21</v>
      </c>
      <c r="D2">
        <v>36300</v>
      </c>
      <c r="E2">
        <v>160</v>
      </c>
      <c r="F2" t="s">
        <v>34</v>
      </c>
      <c r="G2">
        <v>140</v>
      </c>
      <c r="J2" t="s">
        <v>22</v>
      </c>
      <c r="K2">
        <v>3000</v>
      </c>
    </row>
    <row r="3" spans="1:15" x14ac:dyDescent="0.25">
      <c r="A3" t="s">
        <v>15</v>
      </c>
      <c r="B3">
        <v>7040</v>
      </c>
      <c r="C3" t="s">
        <v>166</v>
      </c>
      <c r="D3">
        <v>300</v>
      </c>
      <c r="E3">
        <v>160</v>
      </c>
      <c r="F3" t="s">
        <v>362</v>
      </c>
      <c r="G3">
        <v>150</v>
      </c>
      <c r="N3" t="s">
        <v>257</v>
      </c>
    </row>
    <row r="4" spans="1:15" x14ac:dyDescent="0.25">
      <c r="A4" t="s">
        <v>16</v>
      </c>
      <c r="B4">
        <v>2000</v>
      </c>
      <c r="C4" t="s">
        <v>18</v>
      </c>
      <c r="D4">
        <v>160</v>
      </c>
      <c r="E4">
        <v>310</v>
      </c>
      <c r="J4" t="s">
        <v>358</v>
      </c>
      <c r="K4">
        <v>500</v>
      </c>
    </row>
    <row r="5" spans="1:15" x14ac:dyDescent="0.25">
      <c r="A5" t="s">
        <v>58</v>
      </c>
      <c r="B5">
        <v>4000</v>
      </c>
      <c r="C5" t="s">
        <v>17</v>
      </c>
      <c r="D5">
        <v>1700</v>
      </c>
      <c r="J5" t="s">
        <v>360</v>
      </c>
      <c r="K5">
        <v>85</v>
      </c>
      <c r="N5" t="s">
        <v>7</v>
      </c>
      <c r="O5">
        <v>7000</v>
      </c>
    </row>
    <row r="6" spans="1:15" x14ac:dyDescent="0.25">
      <c r="C6" t="s">
        <v>19</v>
      </c>
      <c r="D6">
        <v>2500</v>
      </c>
      <c r="F6" t="s">
        <v>34</v>
      </c>
      <c r="G6">
        <v>70</v>
      </c>
      <c r="J6" t="s">
        <v>363</v>
      </c>
      <c r="K6">
        <v>1100</v>
      </c>
    </row>
    <row r="7" spans="1:15" x14ac:dyDescent="0.25">
      <c r="E7">
        <v>160</v>
      </c>
      <c r="F7" t="s">
        <v>46</v>
      </c>
      <c r="G7">
        <v>100</v>
      </c>
      <c r="N7" t="s">
        <v>196</v>
      </c>
    </row>
    <row r="8" spans="1:15" x14ac:dyDescent="0.25">
      <c r="E8">
        <v>160</v>
      </c>
      <c r="F8" t="s">
        <v>366</v>
      </c>
      <c r="G8">
        <v>150</v>
      </c>
      <c r="J8" t="s">
        <v>364</v>
      </c>
      <c r="K8">
        <v>40</v>
      </c>
    </row>
    <row r="9" spans="1:15" x14ac:dyDescent="0.25">
      <c r="E9">
        <v>160</v>
      </c>
      <c r="N9" t="s">
        <v>361</v>
      </c>
      <c r="O9">
        <v>7500</v>
      </c>
    </row>
    <row r="10" spans="1:15" x14ac:dyDescent="0.25">
      <c r="E10">
        <v>380</v>
      </c>
      <c r="F10" t="s">
        <v>373</v>
      </c>
      <c r="G10">
        <v>900</v>
      </c>
      <c r="L10" t="s">
        <v>53</v>
      </c>
      <c r="M10">
        <v>179</v>
      </c>
      <c r="N10" t="s">
        <v>195</v>
      </c>
      <c r="O10">
        <f>15000+5500</f>
        <v>20500</v>
      </c>
    </row>
    <row r="11" spans="1:15" x14ac:dyDescent="0.25">
      <c r="A11" t="s">
        <v>350</v>
      </c>
      <c r="E11">
        <v>160</v>
      </c>
      <c r="F11" t="s">
        <v>367</v>
      </c>
      <c r="G11">
        <v>137</v>
      </c>
      <c r="H11" t="s">
        <v>365</v>
      </c>
      <c r="I11">
        <f>383+247+218+299+232</f>
        <v>1379</v>
      </c>
      <c r="L11" t="s">
        <v>80</v>
      </c>
      <c r="M11">
        <v>179</v>
      </c>
    </row>
    <row r="12" spans="1:15" x14ac:dyDescent="0.25">
      <c r="A12" t="s">
        <v>351</v>
      </c>
      <c r="C12" t="s">
        <v>372</v>
      </c>
      <c r="H12" t="s">
        <v>376</v>
      </c>
      <c r="I12">
        <v>510</v>
      </c>
      <c r="M12">
        <v>19</v>
      </c>
    </row>
    <row r="13" spans="1:15" x14ac:dyDescent="0.25">
      <c r="A13" t="s">
        <v>214</v>
      </c>
      <c r="F13" t="s">
        <v>369</v>
      </c>
      <c r="G13">
        <v>165</v>
      </c>
      <c r="M13">
        <v>19</v>
      </c>
      <c r="O13" s="1">
        <f>SUM(O9:O11)</f>
        <v>28000</v>
      </c>
    </row>
    <row r="14" spans="1:15" x14ac:dyDescent="0.25">
      <c r="F14" t="s">
        <v>371</v>
      </c>
      <c r="G14">
        <v>240</v>
      </c>
      <c r="M14">
        <v>19</v>
      </c>
    </row>
    <row r="15" spans="1:15" x14ac:dyDescent="0.25">
      <c r="F15" t="s">
        <v>34</v>
      </c>
      <c r="G15">
        <f>140+137</f>
        <v>277</v>
      </c>
      <c r="H15" t="s">
        <v>375</v>
      </c>
      <c r="I15">
        <v>999</v>
      </c>
      <c r="M15">
        <v>19</v>
      </c>
    </row>
    <row r="16" spans="1:15" x14ac:dyDescent="0.25">
      <c r="F16" t="s">
        <v>368</v>
      </c>
      <c r="G16">
        <v>289</v>
      </c>
      <c r="H16" t="s">
        <v>388</v>
      </c>
      <c r="I16">
        <v>299</v>
      </c>
    </row>
    <row r="17" spans="2:14" x14ac:dyDescent="0.25">
      <c r="F17" t="s">
        <v>370</v>
      </c>
      <c r="G17">
        <v>499</v>
      </c>
    </row>
    <row r="19" spans="2:14" x14ac:dyDescent="0.25">
      <c r="E19">
        <f>160</f>
        <v>160</v>
      </c>
      <c r="F19" t="s">
        <v>377</v>
      </c>
      <c r="G19">
        <v>280</v>
      </c>
    </row>
    <row r="20" spans="2:14" x14ac:dyDescent="0.25">
      <c r="E20">
        <f>15+160</f>
        <v>175</v>
      </c>
      <c r="F20" t="s">
        <v>34</v>
      </c>
      <c r="G20">
        <f>150+80</f>
        <v>230</v>
      </c>
      <c r="N20" s="4"/>
    </row>
    <row r="21" spans="2:14" x14ac:dyDescent="0.25">
      <c r="E21">
        <v>160</v>
      </c>
    </row>
    <row r="22" spans="2:14" x14ac:dyDescent="0.25">
      <c r="E22">
        <v>160</v>
      </c>
      <c r="H22" t="s">
        <v>380</v>
      </c>
      <c r="I22">
        <v>900</v>
      </c>
    </row>
    <row r="23" spans="2:14" x14ac:dyDescent="0.25">
      <c r="E23">
        <v>160</v>
      </c>
    </row>
    <row r="24" spans="2:14" x14ac:dyDescent="0.25">
      <c r="L24" t="s">
        <v>219</v>
      </c>
      <c r="M24">
        <v>1267</v>
      </c>
    </row>
    <row r="25" spans="2:14" x14ac:dyDescent="0.25">
      <c r="F25" t="s">
        <v>34</v>
      </c>
      <c r="G25">
        <v>110</v>
      </c>
      <c r="H25" t="s">
        <v>381</v>
      </c>
      <c r="I25">
        <v>515</v>
      </c>
    </row>
    <row r="26" spans="2:14" x14ac:dyDescent="0.25">
      <c r="E26">
        <v>160</v>
      </c>
      <c r="I26">
        <v>190</v>
      </c>
    </row>
    <row r="27" spans="2:14" ht="30" x14ac:dyDescent="0.25">
      <c r="E27">
        <v>160</v>
      </c>
      <c r="J27" s="2" t="s">
        <v>382</v>
      </c>
      <c r="K27">
        <v>500</v>
      </c>
    </row>
    <row r="28" spans="2:14" x14ac:dyDescent="0.25">
      <c r="E28">
        <v>310</v>
      </c>
      <c r="H28" t="s">
        <v>383</v>
      </c>
      <c r="I28">
        <v>706</v>
      </c>
    </row>
    <row r="29" spans="2:14" x14ac:dyDescent="0.25">
      <c r="E29">
        <v>160</v>
      </c>
      <c r="F29" t="s">
        <v>34</v>
      </c>
      <c r="G29">
        <v>145</v>
      </c>
      <c r="J29" t="s">
        <v>384</v>
      </c>
      <c r="K29">
        <v>4000</v>
      </c>
    </row>
    <row r="30" spans="2:14" x14ac:dyDescent="0.25">
      <c r="E30">
        <f>80+210</f>
        <v>290</v>
      </c>
    </row>
    <row r="31" spans="2:14" x14ac:dyDescent="0.25">
      <c r="B31">
        <f>SUM(B2:B30)</f>
        <v>23040</v>
      </c>
      <c r="D31">
        <f t="shared" ref="D31:M31" si="0">SUM(D2:D30)</f>
        <v>40960</v>
      </c>
      <c r="E31">
        <f>SUM(E2:E30)</f>
        <v>3545</v>
      </c>
      <c r="G31">
        <f t="shared" si="0"/>
        <v>3882</v>
      </c>
      <c r="I31">
        <f t="shared" si="0"/>
        <v>5498</v>
      </c>
      <c r="K31">
        <f t="shared" si="0"/>
        <v>9225</v>
      </c>
      <c r="M31">
        <f t="shared" si="0"/>
        <v>1701</v>
      </c>
      <c r="N31" s="1">
        <f>SUM(B31:M31)</f>
        <v>87851</v>
      </c>
    </row>
    <row r="32" spans="2:14" x14ac:dyDescent="0.25">
      <c r="F32" t="s">
        <v>359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B896-F59C-4433-97A5-DF5D95ACE8A1}">
  <dimension ref="A1:P34"/>
  <sheetViews>
    <sheetView tabSelected="1" topLeftCell="E1" workbookViewId="0">
      <pane ySplit="1" topLeftCell="A17" activePane="bottomLeft" state="frozen"/>
      <selection pane="bottomLeft" activeCell="C37" sqref="C37"/>
    </sheetView>
  </sheetViews>
  <sheetFormatPr defaultRowHeight="15" x14ac:dyDescent="0.25"/>
  <cols>
    <col min="1" max="1" width="14.5703125" customWidth="1"/>
    <col min="3" max="3" width="15.28515625" customWidth="1"/>
    <col min="5" max="5" width="21.5703125" customWidth="1"/>
    <col min="6" max="6" width="27.28515625" customWidth="1"/>
    <col min="8" max="8" width="24.42578125" customWidth="1"/>
    <col min="10" max="10" width="14" customWidth="1"/>
    <col min="12" max="12" width="21" customWidth="1"/>
    <col min="15" max="15" width="21.5703125" customWidth="1"/>
  </cols>
  <sheetData>
    <row r="1" spans="1:16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374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</row>
    <row r="2" spans="1:16" x14ac:dyDescent="0.25">
      <c r="A2" t="s">
        <v>14</v>
      </c>
      <c r="B2">
        <v>10000</v>
      </c>
      <c r="C2" t="s">
        <v>21</v>
      </c>
      <c r="D2">
        <v>36300</v>
      </c>
      <c r="J2" t="s">
        <v>379</v>
      </c>
      <c r="K2">
        <v>3000</v>
      </c>
    </row>
    <row r="3" spans="1:16" x14ac:dyDescent="0.25">
      <c r="A3" t="s">
        <v>16</v>
      </c>
      <c r="B3">
        <v>2000</v>
      </c>
      <c r="C3" t="s">
        <v>166</v>
      </c>
      <c r="D3">
        <v>300</v>
      </c>
      <c r="F3" t="s">
        <v>34</v>
      </c>
      <c r="G3">
        <v>120</v>
      </c>
    </row>
    <row r="4" spans="1:16" x14ac:dyDescent="0.25">
      <c r="A4" t="s">
        <v>58</v>
      </c>
      <c r="B4">
        <v>4000</v>
      </c>
      <c r="C4" t="s">
        <v>18</v>
      </c>
      <c r="D4">
        <v>160</v>
      </c>
      <c r="E4">
        <v>160</v>
      </c>
    </row>
    <row r="5" spans="1:16" x14ac:dyDescent="0.25">
      <c r="C5" t="s">
        <v>17</v>
      </c>
      <c r="D5">
        <v>1400</v>
      </c>
      <c r="E5">
        <v>160</v>
      </c>
      <c r="H5" t="s">
        <v>385</v>
      </c>
      <c r="I5">
        <v>728</v>
      </c>
      <c r="O5" t="s">
        <v>7</v>
      </c>
      <c r="P5">
        <v>7000</v>
      </c>
    </row>
    <row r="6" spans="1:16" x14ac:dyDescent="0.25">
      <c r="C6" t="s">
        <v>391</v>
      </c>
      <c r="D6">
        <v>550</v>
      </c>
      <c r="E6">
        <v>160</v>
      </c>
      <c r="J6" t="s">
        <v>386</v>
      </c>
      <c r="K6">
        <v>300</v>
      </c>
      <c r="L6" t="s">
        <v>53</v>
      </c>
      <c r="M6">
        <v>179</v>
      </c>
    </row>
    <row r="7" spans="1:16" x14ac:dyDescent="0.25">
      <c r="C7" t="s">
        <v>19</v>
      </c>
      <c r="D7">
        <v>1900</v>
      </c>
      <c r="E7">
        <v>160</v>
      </c>
      <c r="F7" t="s">
        <v>34</v>
      </c>
      <c r="G7">
        <v>180</v>
      </c>
      <c r="L7" t="s">
        <v>80</v>
      </c>
      <c r="M7">
        <v>179</v>
      </c>
      <c r="O7" t="s">
        <v>196</v>
      </c>
    </row>
    <row r="8" spans="1:16" x14ac:dyDescent="0.25">
      <c r="C8" t="s">
        <v>415</v>
      </c>
      <c r="D8">
        <v>30000</v>
      </c>
    </row>
    <row r="9" spans="1:16" x14ac:dyDescent="0.25">
      <c r="L9" t="s">
        <v>219</v>
      </c>
      <c r="M9">
        <v>1007</v>
      </c>
      <c r="O9" t="s">
        <v>407</v>
      </c>
      <c r="P9">
        <v>21500</v>
      </c>
    </row>
    <row r="10" spans="1:16" x14ac:dyDescent="0.25">
      <c r="L10" t="s">
        <v>279</v>
      </c>
      <c r="M10">
        <v>300</v>
      </c>
      <c r="O10" t="s">
        <v>181</v>
      </c>
      <c r="P10">
        <v>15000</v>
      </c>
    </row>
    <row r="11" spans="1:16" x14ac:dyDescent="0.25">
      <c r="A11" t="s">
        <v>387</v>
      </c>
    </row>
    <row r="12" spans="1:16" x14ac:dyDescent="0.25">
      <c r="A12" t="s">
        <v>378</v>
      </c>
      <c r="H12" t="s">
        <v>392</v>
      </c>
      <c r="I12">
        <v>3250</v>
      </c>
    </row>
    <row r="13" spans="1:16" x14ac:dyDescent="0.25">
      <c r="A13" t="s">
        <v>214</v>
      </c>
      <c r="O13" t="s">
        <v>409</v>
      </c>
      <c r="P13" s="1">
        <f>SUM(P9:P11)</f>
        <v>36500</v>
      </c>
    </row>
    <row r="14" spans="1:16" x14ac:dyDescent="0.25">
      <c r="F14" t="s">
        <v>34</v>
      </c>
      <c r="G14">
        <v>102</v>
      </c>
      <c r="H14" t="s">
        <v>389</v>
      </c>
      <c r="I14">
        <v>800</v>
      </c>
    </row>
    <row r="15" spans="1:16" x14ac:dyDescent="0.25">
      <c r="H15" t="s">
        <v>394</v>
      </c>
      <c r="I15">
        <v>480</v>
      </c>
    </row>
    <row r="16" spans="1:16" x14ac:dyDescent="0.25">
      <c r="F16" t="s">
        <v>390</v>
      </c>
      <c r="G16">
        <v>93</v>
      </c>
    </row>
    <row r="18" spans="1:14" x14ac:dyDescent="0.25">
      <c r="E18">
        <v>380</v>
      </c>
    </row>
    <row r="19" spans="1:14" x14ac:dyDescent="0.25">
      <c r="F19" t="s">
        <v>398</v>
      </c>
      <c r="G19">
        <v>240</v>
      </c>
    </row>
    <row r="20" spans="1:14" x14ac:dyDescent="0.25">
      <c r="H20" t="s">
        <v>395</v>
      </c>
      <c r="I20">
        <v>500</v>
      </c>
    </row>
    <row r="21" spans="1:14" x14ac:dyDescent="0.25">
      <c r="A21" t="s">
        <v>399</v>
      </c>
      <c r="E21">
        <v>457</v>
      </c>
    </row>
    <row r="22" spans="1:14" x14ac:dyDescent="0.25">
      <c r="A22" t="s">
        <v>400</v>
      </c>
      <c r="E22">
        <v>470</v>
      </c>
      <c r="F22" t="s">
        <v>397</v>
      </c>
      <c r="G22">
        <v>930</v>
      </c>
    </row>
    <row r="23" spans="1:14" x14ac:dyDescent="0.25">
      <c r="F23" t="s">
        <v>401</v>
      </c>
      <c r="G23">
        <v>120</v>
      </c>
      <c r="H23" t="s">
        <v>396</v>
      </c>
      <c r="I23">
        <v>247</v>
      </c>
    </row>
    <row r="24" spans="1:14" x14ac:dyDescent="0.25">
      <c r="F24" t="s">
        <v>402</v>
      </c>
      <c r="G24">
        <v>3000</v>
      </c>
    </row>
    <row r="25" spans="1:14" x14ac:dyDescent="0.25">
      <c r="F25" t="s">
        <v>403</v>
      </c>
      <c r="G25">
        <v>556</v>
      </c>
    </row>
    <row r="27" spans="1:14" x14ac:dyDescent="0.25">
      <c r="H27" t="s">
        <v>404</v>
      </c>
      <c r="I27">
        <v>2500</v>
      </c>
    </row>
    <row r="28" spans="1:14" x14ac:dyDescent="0.25">
      <c r="F28" t="s">
        <v>406</v>
      </c>
      <c r="G28">
        <v>620</v>
      </c>
      <c r="H28" t="s">
        <v>405</v>
      </c>
      <c r="I28">
        <f>380+220</f>
        <v>600</v>
      </c>
      <c r="L28" t="s">
        <v>408</v>
      </c>
      <c r="M28">
        <v>800</v>
      </c>
    </row>
    <row r="29" spans="1:14" x14ac:dyDescent="0.25">
      <c r="F29" t="s">
        <v>413</v>
      </c>
      <c r="G29">
        <v>120</v>
      </c>
      <c r="L29" t="s">
        <v>219</v>
      </c>
      <c r="M29">
        <v>776</v>
      </c>
    </row>
    <row r="30" spans="1:14" ht="45" x14ac:dyDescent="0.25">
      <c r="F30" t="s">
        <v>34</v>
      </c>
      <c r="G30">
        <v>200</v>
      </c>
      <c r="H30" t="s">
        <v>410</v>
      </c>
      <c r="I30">
        <v>2500</v>
      </c>
      <c r="J30" s="2" t="s">
        <v>412</v>
      </c>
      <c r="K30">
        <v>760</v>
      </c>
    </row>
    <row r="31" spans="1:14" x14ac:dyDescent="0.25">
      <c r="E31">
        <v>220</v>
      </c>
      <c r="F31" t="s">
        <v>416</v>
      </c>
      <c r="G31">
        <v>430</v>
      </c>
      <c r="H31" t="s">
        <v>411</v>
      </c>
      <c r="I31">
        <v>3360</v>
      </c>
    </row>
    <row r="32" spans="1:14" x14ac:dyDescent="0.25">
      <c r="B32">
        <f>SUM(B2:B31)</f>
        <v>16000</v>
      </c>
      <c r="D32">
        <f t="shared" ref="D32:M32" si="0">SUM(D2:D31)</f>
        <v>70610</v>
      </c>
      <c r="E32">
        <f t="shared" si="0"/>
        <v>2167</v>
      </c>
      <c r="G32">
        <f>SUM(G2:G31)</f>
        <v>6711</v>
      </c>
      <c r="I32">
        <f t="shared" si="0"/>
        <v>14965</v>
      </c>
      <c r="K32">
        <f t="shared" si="0"/>
        <v>4060</v>
      </c>
      <c r="M32">
        <f t="shared" si="0"/>
        <v>3241</v>
      </c>
      <c r="N32" s="1">
        <f>SUM(B32:M32)</f>
        <v>117754</v>
      </c>
    </row>
    <row r="33" spans="6:11" x14ac:dyDescent="0.25">
      <c r="J33" t="s">
        <v>414</v>
      </c>
      <c r="K33">
        <v>1780</v>
      </c>
    </row>
    <row r="34" spans="6:11" x14ac:dyDescent="0.25">
      <c r="F34" t="s">
        <v>393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Belgium</vt:lpstr>
      <vt:lpstr>Feb</vt:lpstr>
      <vt:lpstr>March</vt:lpstr>
      <vt:lpstr>April</vt:lpstr>
      <vt:lpstr>May</vt:lpstr>
      <vt:lpstr>June</vt:lpstr>
      <vt:lpstr>July</vt:lpstr>
      <vt:lpstr>August</vt:lpstr>
      <vt:lpstr>Sept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Vitthal Bhore</dc:creator>
  <cp:lastModifiedBy>Rupali Vitthal Bhore</cp:lastModifiedBy>
  <dcterms:created xsi:type="dcterms:W3CDTF">2022-12-26T10:51:02Z</dcterms:created>
  <dcterms:modified xsi:type="dcterms:W3CDTF">2024-02-05T06:11:29Z</dcterms:modified>
</cp:coreProperties>
</file>