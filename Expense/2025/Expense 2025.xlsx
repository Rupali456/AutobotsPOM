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palibh\OneDrive - IRIS Software Group\Desktop\PS\Expense\2025\"/>
    </mc:Choice>
  </mc:AlternateContent>
  <bookViews>
    <workbookView xWindow="0" yWindow="0" windowWidth="28800" windowHeight="12300" activeTab="2"/>
  </bookViews>
  <sheets>
    <sheet name="Jan" sheetId="1" r:id="rId1"/>
    <sheet name="Feb" sheetId="2" r:id="rId2"/>
    <sheet name="Marc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E5" i="3"/>
  <c r="E6" i="3"/>
  <c r="D32" i="3" l="1"/>
  <c r="E32" i="3"/>
  <c r="G32" i="3"/>
  <c r="I32" i="3"/>
  <c r="K32" i="3"/>
  <c r="M32" i="3"/>
  <c r="B32" i="3"/>
  <c r="E27" i="3"/>
  <c r="E26" i="3"/>
  <c r="E25" i="3"/>
  <c r="E24" i="3"/>
  <c r="E19" i="3"/>
  <c r="E18" i="3"/>
  <c r="E17" i="3"/>
  <c r="E16" i="3"/>
  <c r="E12" i="3"/>
  <c r="E11" i="3"/>
  <c r="E10" i="3"/>
  <c r="E9" i="3"/>
  <c r="E3" i="3"/>
  <c r="N32" i="3" l="1"/>
  <c r="G30" i="2"/>
  <c r="G32" i="1"/>
  <c r="E6" i="2"/>
  <c r="D30" i="2" l="1"/>
  <c r="E30" i="2"/>
  <c r="I30" i="2"/>
  <c r="K30" i="2"/>
  <c r="M30" i="2"/>
  <c r="B30" i="2"/>
  <c r="E28" i="2"/>
  <c r="E27" i="2"/>
  <c r="E22" i="2"/>
  <c r="E21" i="2"/>
  <c r="E20" i="2"/>
  <c r="E19" i="2"/>
  <c r="E14" i="2"/>
  <c r="E13" i="2"/>
  <c r="E12" i="2"/>
  <c r="E11" i="2"/>
  <c r="E3" i="2"/>
  <c r="E4" i="2"/>
  <c r="N30" i="2" l="1"/>
  <c r="E16" i="1"/>
  <c r="E17" i="1"/>
  <c r="E18" i="1"/>
  <c r="E15" i="1"/>
  <c r="D32" i="1" l="1"/>
  <c r="E32" i="1"/>
  <c r="I32" i="1"/>
  <c r="K32" i="1"/>
  <c r="M32" i="1"/>
  <c r="B32" i="1"/>
  <c r="D3" i="1"/>
  <c r="N32" i="1" l="1"/>
</calcChain>
</file>

<file path=xl/sharedStrings.xml><?xml version="1.0" encoding="utf-8"?>
<sst xmlns="http://schemas.openxmlformats.org/spreadsheetml/2006/main" count="176" uniqueCount="109">
  <si>
    <t>Investments</t>
  </si>
  <si>
    <t>Monthly Emi</t>
  </si>
  <si>
    <t>petrol/transport</t>
  </si>
  <si>
    <t xml:space="preserve"> Grossary /festival/guest</t>
  </si>
  <si>
    <t>shopping/outing</t>
  </si>
  <si>
    <t>Other</t>
  </si>
  <si>
    <t>Personal expense</t>
  </si>
  <si>
    <t>MF</t>
  </si>
  <si>
    <t>3 BHK</t>
  </si>
  <si>
    <t>PPF</t>
  </si>
  <si>
    <t>mavshi sangeeta +</t>
  </si>
  <si>
    <t>RD</t>
  </si>
  <si>
    <t>term plan</t>
  </si>
  <si>
    <t>NPS: 1L</t>
  </si>
  <si>
    <t>aai</t>
  </si>
  <si>
    <t>RD: 30K</t>
  </si>
  <si>
    <t>paper bill</t>
  </si>
  <si>
    <t>jio</t>
  </si>
  <si>
    <t>Vi</t>
  </si>
  <si>
    <t>UC</t>
  </si>
  <si>
    <t>Ajji</t>
  </si>
  <si>
    <t>250K</t>
  </si>
  <si>
    <t>tai</t>
  </si>
  <si>
    <t>7000 rent</t>
  </si>
  <si>
    <t>yogesh mamanna</t>
  </si>
  <si>
    <t>1.25K</t>
  </si>
  <si>
    <t>bhaji</t>
  </si>
  <si>
    <t>fala</t>
  </si>
  <si>
    <t>ushanche cover</t>
  </si>
  <si>
    <t>sitopaladi churn</t>
  </si>
  <si>
    <t>dudu mashroom tomato</t>
  </si>
  <si>
    <t>rani kadam</t>
  </si>
  <si>
    <t>dusari mavshi</t>
  </si>
  <si>
    <t>fruits and gajar, tomato</t>
  </si>
  <si>
    <t>paneer, ashgaurd, lasun</t>
  </si>
  <si>
    <t>yogesh perfume</t>
  </si>
  <si>
    <t>bhishi billi anna</t>
  </si>
  <si>
    <t>fruits</t>
  </si>
  <si>
    <t>kohala, kaju oats</t>
  </si>
  <si>
    <t>gajar peru</t>
  </si>
  <si>
    <t>makhana kohla paneer</t>
  </si>
  <si>
    <t>limbu</t>
  </si>
  <si>
    <t>pani bottle kival</t>
  </si>
  <si>
    <t>tream hair</t>
  </si>
  <si>
    <t>mufasa</t>
  </si>
  <si>
    <t>finger cake</t>
  </si>
  <si>
    <t>grocery for guest / akash ashu</t>
  </si>
  <si>
    <t>cake for akash bday</t>
  </si>
  <si>
    <t>purush</t>
  </si>
  <si>
    <t>mummyna bday dress</t>
  </si>
  <si>
    <t>pillow covers</t>
  </si>
  <si>
    <t>sunscreen</t>
  </si>
  <si>
    <t>10K</t>
  </si>
  <si>
    <t>tai la 25K dile</t>
  </si>
  <si>
    <t>chaha</t>
  </si>
  <si>
    <t>Mutual:425K</t>
  </si>
  <si>
    <t>Mutual:445K</t>
  </si>
  <si>
    <t>Rd broke</t>
  </si>
  <si>
    <t>shashikala mavshi</t>
  </si>
  <si>
    <t>khakra, surali wadi, kothimbir wadi</t>
  </si>
  <si>
    <t>surali wadi for sukhsagar salunkhe</t>
  </si>
  <si>
    <t>Zapurza</t>
  </si>
  <si>
    <t>c sesum</t>
  </si>
  <si>
    <t>makeup pouch+ tiffin box</t>
  </si>
  <si>
    <t>RD: 10K</t>
  </si>
  <si>
    <t>tai ne 1L dile</t>
  </si>
  <si>
    <t>toner</t>
  </si>
  <si>
    <t>ice pad for sukhsagar</t>
  </si>
  <si>
    <t>kohala</t>
  </si>
  <si>
    <t>vasota</t>
  </si>
  <si>
    <t>dudh bill</t>
  </si>
  <si>
    <t>nyka rose water</t>
  </si>
  <si>
    <t>yogesh gave 3.5K</t>
  </si>
  <si>
    <t xml:space="preserve">yogesh ne 3.5K dile </t>
  </si>
  <si>
    <t>bolster+cusion covers</t>
  </si>
  <si>
    <t>water bottles</t>
  </si>
  <si>
    <t>bhishi</t>
  </si>
  <si>
    <t>cake contry in bhishi party</t>
  </si>
  <si>
    <t>earthen pots</t>
  </si>
  <si>
    <t>kanatale for me</t>
  </si>
  <si>
    <t>limbu+dudh</t>
  </si>
  <si>
    <t>Taila 50K retun dile</t>
  </si>
  <si>
    <t>aman aher</t>
  </si>
  <si>
    <t>chopping board</t>
  </si>
  <si>
    <t>Mutual:465K</t>
  </si>
  <si>
    <t>RD: 15K</t>
  </si>
  <si>
    <t>keli</t>
  </si>
  <si>
    <t>awla +anar</t>
  </si>
  <si>
    <t>FFP annual program</t>
  </si>
  <si>
    <t>25K</t>
  </si>
  <si>
    <t>taila 35K dile</t>
  </si>
  <si>
    <t>cleanser</t>
  </si>
  <si>
    <t>wafers</t>
  </si>
  <si>
    <t>paneer + kairi</t>
  </si>
  <si>
    <t>oranges</t>
  </si>
  <si>
    <t>wifi</t>
  </si>
  <si>
    <t>contry in socienty for womens day</t>
  </si>
  <si>
    <t>massage</t>
  </si>
  <si>
    <t>dinner with rasika and saurabh</t>
  </si>
  <si>
    <t>Yogesh did gave anything</t>
  </si>
  <si>
    <t>purvaja chya porila dress</t>
  </si>
  <si>
    <t>yogesh bandi</t>
  </si>
  <si>
    <t>white shoes for me</t>
  </si>
  <si>
    <t>green legin</t>
  </si>
  <si>
    <t>one piece</t>
  </si>
  <si>
    <t>blue top</t>
  </si>
  <si>
    <t>tiffin bag</t>
  </si>
  <si>
    <t>makeup box</t>
  </si>
  <si>
    <t>ritza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</si>
</sst>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31668</c:v>
                </c:pt>
                <c:pt idx="2">
                  <c:v>40800</c:v>
                </c:pt>
                <c:pt idx="3">
                  <c:v>2817</c:v>
                </c:pt>
                <c:pt idx="5">
                  <c:v>2028</c:v>
                </c:pt>
                <c:pt idx="7">
                  <c:v>5314</c:v>
                </c:pt>
                <c:pt idx="9">
                  <c:v>0</c:v>
                </c:pt>
                <c:pt idx="11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8-4F5F-B27A-3ACEB5A558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9983055"/>
        <c:axId val="1329985551"/>
        <c:axId val="0"/>
      </c:bar3DChart>
      <c:catAx>
        <c:axId val="1329983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85551"/>
        <c:crosses val="autoZero"/>
        <c:auto val="1"/>
        <c:lblAlgn val="ctr"/>
        <c:lblOffset val="100"/>
        <c:noMultiLvlLbl val="0"/>
      </c:catAx>
      <c:valAx>
        <c:axId val="13299855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998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34668</c:v>
                </c:pt>
                <c:pt idx="2">
                  <c:v>38200</c:v>
                </c:pt>
                <c:pt idx="3">
                  <c:v>3793</c:v>
                </c:pt>
                <c:pt idx="5">
                  <c:v>3564</c:v>
                </c:pt>
                <c:pt idx="7">
                  <c:v>5185</c:v>
                </c:pt>
                <c:pt idx="9">
                  <c:v>2500</c:v>
                </c:pt>
                <c:pt idx="11">
                  <c:v>11143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7-4C71-81F8-5020FD6250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8886207"/>
        <c:axId val="1328891199"/>
        <c:axId val="0"/>
      </c:bar3DChart>
      <c:catAx>
        <c:axId val="132888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91199"/>
        <c:crosses val="autoZero"/>
        <c:auto val="1"/>
        <c:lblAlgn val="ctr"/>
        <c:lblOffset val="100"/>
        <c:noMultiLvlLbl val="0"/>
      </c:catAx>
      <c:valAx>
        <c:axId val="13288911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888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90767</xdr:rowOff>
    </xdr:from>
    <xdr:to>
      <xdr:col>4</xdr:col>
      <xdr:colOff>795618</xdr:colOff>
      <xdr:row>25</xdr:row>
      <xdr:rowOff>156883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3</xdr:col>
      <xdr:colOff>457200</xdr:colOff>
      <xdr:row>40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5" zoomScaleNormal="85" workbookViewId="0">
      <pane ySplit="1" topLeftCell="A2" activePane="bottomLeft" state="frozen"/>
      <selection activeCell="G1" sqref="G1"/>
      <selection pane="bottomLeft" activeCell="N32" sqref="N32"/>
    </sheetView>
  </sheetViews>
  <sheetFormatPr defaultRowHeight="15" x14ac:dyDescent="0.25"/>
  <cols>
    <col min="1" max="1" width="17" customWidth="1"/>
    <col min="3" max="3" width="15.5703125" customWidth="1"/>
    <col min="5" max="5" width="21.85546875" customWidth="1"/>
    <col min="6" max="6" width="21.5703125" customWidth="1"/>
    <col min="8" max="8" width="18" customWidth="1"/>
    <col min="12" max="12" width="18.7109375" customWidth="1"/>
    <col min="14" max="14" width="14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20000</v>
      </c>
      <c r="C2" t="s">
        <v>8</v>
      </c>
      <c r="D2">
        <v>36500</v>
      </c>
      <c r="E2">
        <v>300</v>
      </c>
      <c r="F2" t="s">
        <v>16</v>
      </c>
      <c r="G2">
        <v>186</v>
      </c>
    </row>
    <row r="3" spans="1:15" ht="30" x14ac:dyDescent="0.25">
      <c r="A3" t="s">
        <v>9</v>
      </c>
      <c r="B3">
        <v>2000</v>
      </c>
      <c r="C3" s="2" t="s">
        <v>10</v>
      </c>
      <c r="D3">
        <f>1700+2000</f>
        <v>3700</v>
      </c>
      <c r="F3" t="s">
        <v>26</v>
      </c>
      <c r="G3">
        <v>210</v>
      </c>
      <c r="L3" t="s">
        <v>17</v>
      </c>
      <c r="M3">
        <v>210</v>
      </c>
      <c r="N3" t="s">
        <v>14</v>
      </c>
      <c r="O3" t="s">
        <v>21</v>
      </c>
    </row>
    <row r="4" spans="1:15" x14ac:dyDescent="0.25">
      <c r="A4" t="s">
        <v>11</v>
      </c>
      <c r="B4">
        <v>5000</v>
      </c>
      <c r="C4" t="s">
        <v>31</v>
      </c>
      <c r="D4">
        <v>450</v>
      </c>
      <c r="F4" t="s">
        <v>27</v>
      </c>
      <c r="G4">
        <v>153</v>
      </c>
      <c r="L4" t="s">
        <v>18</v>
      </c>
      <c r="M4">
        <v>199</v>
      </c>
      <c r="N4" t="s">
        <v>22</v>
      </c>
      <c r="O4" t="s">
        <v>52</v>
      </c>
    </row>
    <row r="5" spans="1:15" x14ac:dyDescent="0.25">
      <c r="A5" t="s">
        <v>12</v>
      </c>
      <c r="B5">
        <v>2668</v>
      </c>
      <c r="C5" t="s">
        <v>32</v>
      </c>
      <c r="D5">
        <v>150</v>
      </c>
      <c r="F5" t="s">
        <v>29</v>
      </c>
      <c r="G5">
        <v>160</v>
      </c>
      <c r="N5" t="s">
        <v>23</v>
      </c>
    </row>
    <row r="6" spans="1:15" x14ac:dyDescent="0.25">
      <c r="A6" t="s">
        <v>14</v>
      </c>
      <c r="B6">
        <v>2000</v>
      </c>
      <c r="F6" t="s">
        <v>26</v>
      </c>
      <c r="G6">
        <v>350</v>
      </c>
    </row>
    <row r="7" spans="1:15" x14ac:dyDescent="0.25">
      <c r="F7" t="s">
        <v>30</v>
      </c>
      <c r="G7">
        <v>240</v>
      </c>
    </row>
    <row r="8" spans="1:15" x14ac:dyDescent="0.25">
      <c r="F8" t="s">
        <v>33</v>
      </c>
      <c r="G8">
        <v>280</v>
      </c>
      <c r="N8" t="s">
        <v>24</v>
      </c>
      <c r="O8" t="s">
        <v>25</v>
      </c>
    </row>
    <row r="9" spans="1:15" x14ac:dyDescent="0.25">
      <c r="F9" t="s">
        <v>34</v>
      </c>
      <c r="G9">
        <v>260</v>
      </c>
      <c r="H9" t="s">
        <v>35</v>
      </c>
      <c r="I9">
        <v>350</v>
      </c>
      <c r="L9" t="s">
        <v>20</v>
      </c>
      <c r="M9">
        <v>200</v>
      </c>
    </row>
    <row r="10" spans="1:15" x14ac:dyDescent="0.25">
      <c r="F10" t="s">
        <v>28</v>
      </c>
      <c r="G10">
        <v>149</v>
      </c>
      <c r="H10" t="s">
        <v>36</v>
      </c>
      <c r="I10">
        <v>50</v>
      </c>
    </row>
    <row r="11" spans="1:15" x14ac:dyDescent="0.25">
      <c r="A11" t="s">
        <v>55</v>
      </c>
      <c r="F11" t="s">
        <v>26</v>
      </c>
      <c r="G11">
        <v>460</v>
      </c>
    </row>
    <row r="12" spans="1:15" x14ac:dyDescent="0.25">
      <c r="A12" t="s">
        <v>15</v>
      </c>
      <c r="F12" t="s">
        <v>37</v>
      </c>
      <c r="G12">
        <v>200</v>
      </c>
      <c r="L12" t="s">
        <v>43</v>
      </c>
      <c r="M12">
        <v>200</v>
      </c>
    </row>
    <row r="13" spans="1:15" x14ac:dyDescent="0.25">
      <c r="A13" t="s">
        <v>13</v>
      </c>
      <c r="E13">
        <v>202</v>
      </c>
      <c r="F13" t="s">
        <v>26</v>
      </c>
      <c r="G13">
        <v>170</v>
      </c>
      <c r="H13" t="s">
        <v>44</v>
      </c>
      <c r="I13">
        <v>1565</v>
      </c>
    </row>
    <row r="14" spans="1:15" x14ac:dyDescent="0.25">
      <c r="E14">
        <v>280</v>
      </c>
      <c r="F14" t="s">
        <v>38</v>
      </c>
      <c r="G14">
        <v>323</v>
      </c>
    </row>
    <row r="15" spans="1:15" x14ac:dyDescent="0.25">
      <c r="E15">
        <f>94+96</f>
        <v>190</v>
      </c>
      <c r="F15" t="s">
        <v>39</v>
      </c>
      <c r="G15">
        <v>150</v>
      </c>
    </row>
    <row r="16" spans="1:15" x14ac:dyDescent="0.25">
      <c r="E16">
        <f t="shared" ref="E16:E18" si="0">94+96</f>
        <v>190</v>
      </c>
      <c r="F16" t="s">
        <v>42</v>
      </c>
      <c r="G16">
        <v>50</v>
      </c>
    </row>
    <row r="17" spans="1:14" x14ac:dyDescent="0.25">
      <c r="E17">
        <f t="shared" si="0"/>
        <v>190</v>
      </c>
      <c r="F17" t="s">
        <v>40</v>
      </c>
      <c r="G17">
        <v>316</v>
      </c>
    </row>
    <row r="18" spans="1:14" x14ac:dyDescent="0.25">
      <c r="E18">
        <f t="shared" si="0"/>
        <v>190</v>
      </c>
      <c r="F18" t="s">
        <v>41</v>
      </c>
    </row>
    <row r="19" spans="1:14" x14ac:dyDescent="0.25">
      <c r="F19" t="s">
        <v>37</v>
      </c>
      <c r="G19">
        <v>250</v>
      </c>
    </row>
    <row r="20" spans="1:14" x14ac:dyDescent="0.25">
      <c r="F20" t="s">
        <v>46</v>
      </c>
      <c r="G20">
        <v>335</v>
      </c>
    </row>
    <row r="21" spans="1:14" x14ac:dyDescent="0.25">
      <c r="E21">
        <v>45</v>
      </c>
      <c r="F21" t="s">
        <v>45</v>
      </c>
      <c r="G21">
        <v>251</v>
      </c>
    </row>
    <row r="22" spans="1:14" x14ac:dyDescent="0.25">
      <c r="E22">
        <v>190</v>
      </c>
      <c r="F22" t="s">
        <v>47</v>
      </c>
      <c r="G22">
        <v>330</v>
      </c>
    </row>
    <row r="23" spans="1:14" x14ac:dyDescent="0.25">
      <c r="F23" t="s">
        <v>26</v>
      </c>
      <c r="G23">
        <v>55</v>
      </c>
      <c r="H23" t="s">
        <v>48</v>
      </c>
      <c r="I23">
        <v>1070</v>
      </c>
    </row>
    <row r="24" spans="1:14" x14ac:dyDescent="0.25">
      <c r="F24" t="s">
        <v>54</v>
      </c>
      <c r="G24">
        <v>20</v>
      </c>
      <c r="H24" t="s">
        <v>49</v>
      </c>
      <c r="I24">
        <v>1200</v>
      </c>
    </row>
    <row r="25" spans="1:14" x14ac:dyDescent="0.25">
      <c r="E25">
        <v>190</v>
      </c>
      <c r="H25" t="s">
        <v>50</v>
      </c>
    </row>
    <row r="26" spans="1:14" x14ac:dyDescent="0.25">
      <c r="E26">
        <v>190</v>
      </c>
    </row>
    <row r="27" spans="1:14" ht="30" x14ac:dyDescent="0.25">
      <c r="A27" t="s">
        <v>57</v>
      </c>
      <c r="C27" t="s">
        <v>53</v>
      </c>
      <c r="E27">
        <v>190</v>
      </c>
      <c r="F27" s="2" t="s">
        <v>59</v>
      </c>
      <c r="G27">
        <v>310</v>
      </c>
      <c r="H27" t="s">
        <v>51</v>
      </c>
      <c r="I27">
        <v>525</v>
      </c>
    </row>
    <row r="28" spans="1:14" x14ac:dyDescent="0.25">
      <c r="E28">
        <v>280</v>
      </c>
      <c r="F28" t="s">
        <v>37</v>
      </c>
      <c r="G28">
        <v>200</v>
      </c>
    </row>
    <row r="29" spans="1:14" ht="30" x14ac:dyDescent="0.25">
      <c r="E29">
        <v>190</v>
      </c>
      <c r="F29" s="2" t="s">
        <v>60</v>
      </c>
      <c r="G29">
        <v>120</v>
      </c>
      <c r="H29" t="s">
        <v>107</v>
      </c>
      <c r="I29">
        <v>259</v>
      </c>
    </row>
    <row r="30" spans="1:14" x14ac:dyDescent="0.25">
      <c r="H30" t="s">
        <v>106</v>
      </c>
      <c r="I30">
        <v>295</v>
      </c>
    </row>
    <row r="32" spans="1:14" x14ac:dyDescent="0.25">
      <c r="B32">
        <f>SUM(B2:B31)</f>
        <v>31668</v>
      </c>
      <c r="D32">
        <f t="shared" ref="D32:M32" si="1">SUM(D2:D31)</f>
        <v>40800</v>
      </c>
      <c r="E32">
        <f t="shared" si="1"/>
        <v>2817</v>
      </c>
      <c r="G32">
        <f>SUM(G2:G31)-3500</f>
        <v>2028</v>
      </c>
      <c r="I32">
        <f t="shared" si="1"/>
        <v>5314</v>
      </c>
      <c r="K32">
        <f t="shared" si="1"/>
        <v>0</v>
      </c>
      <c r="M32">
        <f t="shared" si="1"/>
        <v>809</v>
      </c>
      <c r="N32" s="1">
        <f>SUM(B32:M32)</f>
        <v>83436</v>
      </c>
    </row>
    <row r="33" spans="6:6" x14ac:dyDescent="0.25">
      <c r="F33" t="s">
        <v>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C10" workbookViewId="0">
      <selection activeCell="N30" sqref="N30"/>
    </sheetView>
  </sheetViews>
  <sheetFormatPr defaultRowHeight="15" x14ac:dyDescent="0.25"/>
  <cols>
    <col min="1" max="1" width="15.5703125" customWidth="1"/>
    <col min="3" max="3" width="15.140625" customWidth="1"/>
    <col min="5" max="5" width="15.5703125" bestFit="1" customWidth="1"/>
    <col min="6" max="6" width="29.140625" customWidth="1"/>
    <col min="8" max="8" width="18.42578125" customWidth="1"/>
    <col min="12" max="12" width="20.85546875" customWidth="1"/>
    <col min="14" max="14" width="12.855468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20000</v>
      </c>
      <c r="C2" t="s">
        <v>8</v>
      </c>
      <c r="D2">
        <v>36500</v>
      </c>
      <c r="F2" t="s">
        <v>61</v>
      </c>
      <c r="G2">
        <v>600</v>
      </c>
    </row>
    <row r="3" spans="1:15" ht="30" x14ac:dyDescent="0.25">
      <c r="A3" t="s">
        <v>9</v>
      </c>
      <c r="B3">
        <v>2000</v>
      </c>
      <c r="C3" s="2" t="s">
        <v>58</v>
      </c>
      <c r="D3">
        <v>1700</v>
      </c>
      <c r="E3">
        <f>94+96</f>
        <v>190</v>
      </c>
      <c r="F3" t="s">
        <v>26</v>
      </c>
      <c r="G3">
        <v>510</v>
      </c>
      <c r="H3" t="s">
        <v>62</v>
      </c>
      <c r="I3">
        <v>558</v>
      </c>
    </row>
    <row r="4" spans="1:15" x14ac:dyDescent="0.25">
      <c r="A4" t="s">
        <v>11</v>
      </c>
      <c r="B4">
        <v>5000</v>
      </c>
      <c r="E4">
        <f t="shared" ref="E4" si="0">94+96</f>
        <v>190</v>
      </c>
      <c r="F4" t="s">
        <v>70</v>
      </c>
      <c r="G4">
        <v>324</v>
      </c>
    </row>
    <row r="5" spans="1:15" x14ac:dyDescent="0.25">
      <c r="A5" t="s">
        <v>12</v>
      </c>
      <c r="B5">
        <v>2668</v>
      </c>
      <c r="E5">
        <v>45</v>
      </c>
      <c r="F5" t="s">
        <v>37</v>
      </c>
      <c r="G5">
        <v>150</v>
      </c>
      <c r="H5" t="s">
        <v>63</v>
      </c>
    </row>
    <row r="6" spans="1:15" x14ac:dyDescent="0.25">
      <c r="A6" t="s">
        <v>14</v>
      </c>
      <c r="B6">
        <v>2000</v>
      </c>
      <c r="E6">
        <f>45+121</f>
        <v>166</v>
      </c>
      <c r="F6" t="s">
        <v>74</v>
      </c>
      <c r="G6">
        <v>923</v>
      </c>
      <c r="H6" t="s">
        <v>66</v>
      </c>
      <c r="I6">
        <v>205</v>
      </c>
      <c r="N6" t="s">
        <v>14</v>
      </c>
      <c r="O6" t="s">
        <v>21</v>
      </c>
    </row>
    <row r="7" spans="1:15" x14ac:dyDescent="0.25">
      <c r="A7" t="s">
        <v>76</v>
      </c>
      <c r="B7">
        <v>3000</v>
      </c>
      <c r="E7">
        <v>280</v>
      </c>
      <c r="F7" t="s">
        <v>37</v>
      </c>
      <c r="G7">
        <v>200</v>
      </c>
      <c r="N7" t="s">
        <v>22</v>
      </c>
      <c r="O7" t="s">
        <v>89</v>
      </c>
    </row>
    <row r="8" spans="1:15" x14ac:dyDescent="0.25">
      <c r="F8" t="s">
        <v>68</v>
      </c>
      <c r="G8">
        <v>100</v>
      </c>
      <c r="L8" t="s">
        <v>17</v>
      </c>
      <c r="M8">
        <v>210</v>
      </c>
      <c r="N8" t="s">
        <v>23</v>
      </c>
    </row>
    <row r="9" spans="1:15" x14ac:dyDescent="0.25">
      <c r="F9" t="s">
        <v>67</v>
      </c>
      <c r="G9">
        <v>129</v>
      </c>
      <c r="H9" t="s">
        <v>69</v>
      </c>
      <c r="I9">
        <v>3600</v>
      </c>
      <c r="L9" t="s">
        <v>18</v>
      </c>
      <c r="M9">
        <v>199</v>
      </c>
    </row>
    <row r="10" spans="1:15" x14ac:dyDescent="0.25">
      <c r="C10" t="s">
        <v>65</v>
      </c>
      <c r="F10" t="s">
        <v>37</v>
      </c>
      <c r="G10">
        <v>250</v>
      </c>
    </row>
    <row r="11" spans="1:15" x14ac:dyDescent="0.25">
      <c r="A11" t="s">
        <v>56</v>
      </c>
      <c r="E11">
        <f>94+96</f>
        <v>190</v>
      </c>
      <c r="F11" t="s">
        <v>75</v>
      </c>
      <c r="G11">
        <v>354</v>
      </c>
      <c r="H11" t="s">
        <v>71</v>
      </c>
      <c r="I11">
        <v>354</v>
      </c>
      <c r="L11" t="s">
        <v>19</v>
      </c>
      <c r="M11">
        <v>1534</v>
      </c>
      <c r="N11" t="s">
        <v>24</v>
      </c>
      <c r="O11" t="s">
        <v>25</v>
      </c>
    </row>
    <row r="12" spans="1:15" x14ac:dyDescent="0.25">
      <c r="A12" t="s">
        <v>64</v>
      </c>
      <c r="E12">
        <f t="shared" ref="E12:E14" si="1">94+96</f>
        <v>190</v>
      </c>
      <c r="F12" t="s">
        <v>37</v>
      </c>
      <c r="G12">
        <v>250</v>
      </c>
      <c r="H12" t="s">
        <v>77</v>
      </c>
      <c r="I12">
        <v>38</v>
      </c>
    </row>
    <row r="13" spans="1:15" x14ac:dyDescent="0.25">
      <c r="A13" t="s">
        <v>13</v>
      </c>
      <c r="E13">
        <f t="shared" si="1"/>
        <v>190</v>
      </c>
      <c r="F13" t="s">
        <v>78</v>
      </c>
      <c r="G13">
        <v>1199</v>
      </c>
    </row>
    <row r="14" spans="1:15" x14ac:dyDescent="0.25">
      <c r="E14">
        <f t="shared" si="1"/>
        <v>190</v>
      </c>
      <c r="H14" t="s">
        <v>79</v>
      </c>
      <c r="I14">
        <v>130</v>
      </c>
      <c r="L14" t="s">
        <v>20</v>
      </c>
      <c r="M14">
        <v>200</v>
      </c>
    </row>
    <row r="15" spans="1:15" x14ac:dyDescent="0.25">
      <c r="E15">
        <v>62</v>
      </c>
      <c r="F15" t="s">
        <v>80</v>
      </c>
      <c r="G15">
        <v>84</v>
      </c>
    </row>
    <row r="16" spans="1:15" x14ac:dyDescent="0.25">
      <c r="F16" t="s">
        <v>37</v>
      </c>
      <c r="G16">
        <v>200</v>
      </c>
    </row>
    <row r="18" spans="2:14" x14ac:dyDescent="0.25">
      <c r="C18" t="s">
        <v>81</v>
      </c>
      <c r="E18">
        <v>220</v>
      </c>
    </row>
    <row r="19" spans="2:14" x14ac:dyDescent="0.25">
      <c r="E19">
        <f>94+96</f>
        <v>190</v>
      </c>
    </row>
    <row r="20" spans="2:14" x14ac:dyDescent="0.25">
      <c r="E20">
        <f t="shared" ref="E20:E22" si="2">94+96</f>
        <v>190</v>
      </c>
      <c r="F20" t="s">
        <v>83</v>
      </c>
      <c r="G20">
        <v>193</v>
      </c>
    </row>
    <row r="21" spans="2:14" x14ac:dyDescent="0.25">
      <c r="E21">
        <f t="shared" si="2"/>
        <v>190</v>
      </c>
      <c r="F21" t="s">
        <v>37</v>
      </c>
      <c r="G21">
        <v>160</v>
      </c>
    </row>
    <row r="22" spans="2:14" x14ac:dyDescent="0.25">
      <c r="E22">
        <f t="shared" si="2"/>
        <v>190</v>
      </c>
      <c r="F22" t="s">
        <v>86</v>
      </c>
      <c r="G22">
        <v>145</v>
      </c>
      <c r="J22" t="s">
        <v>82</v>
      </c>
      <c r="K22">
        <v>2500</v>
      </c>
    </row>
    <row r="23" spans="2:14" x14ac:dyDescent="0.25">
      <c r="E23">
        <v>370</v>
      </c>
      <c r="F23" t="s">
        <v>87</v>
      </c>
      <c r="G23">
        <v>150</v>
      </c>
    </row>
    <row r="24" spans="2:14" x14ac:dyDescent="0.25">
      <c r="E24">
        <v>280</v>
      </c>
      <c r="F24" t="s">
        <v>26</v>
      </c>
      <c r="G24">
        <v>255</v>
      </c>
      <c r="L24" t="s">
        <v>88</v>
      </c>
      <c r="M24">
        <v>9000</v>
      </c>
    </row>
    <row r="25" spans="2:14" x14ac:dyDescent="0.25">
      <c r="C25" t="s">
        <v>90</v>
      </c>
      <c r="E25">
        <v>45</v>
      </c>
      <c r="F25" t="s">
        <v>92</v>
      </c>
      <c r="G25">
        <v>70</v>
      </c>
    </row>
    <row r="26" spans="2:14" x14ac:dyDescent="0.25">
      <c r="E26">
        <v>45</v>
      </c>
      <c r="F26" t="s">
        <v>93</v>
      </c>
      <c r="G26">
        <v>118</v>
      </c>
    </row>
    <row r="27" spans="2:14" x14ac:dyDescent="0.25">
      <c r="E27">
        <f t="shared" ref="E27:E28" si="3">94+96</f>
        <v>190</v>
      </c>
      <c r="F27" t="s">
        <v>94</v>
      </c>
      <c r="G27">
        <v>100</v>
      </c>
    </row>
    <row r="28" spans="2:14" x14ac:dyDescent="0.25">
      <c r="E28">
        <f t="shared" si="3"/>
        <v>190</v>
      </c>
      <c r="H28" t="s">
        <v>91</v>
      </c>
      <c r="I28">
        <v>300</v>
      </c>
    </row>
    <row r="29" spans="2:14" x14ac:dyDescent="0.25">
      <c r="F29" t="s">
        <v>95</v>
      </c>
      <c r="G29">
        <v>600</v>
      </c>
    </row>
    <row r="30" spans="2:14" x14ac:dyDescent="0.25">
      <c r="B30">
        <f>SUM(B2:B29)</f>
        <v>34668</v>
      </c>
      <c r="D30">
        <f t="shared" ref="D30:M30" si="4">SUM(D2:D29)</f>
        <v>38200</v>
      </c>
      <c r="E30">
        <f t="shared" si="4"/>
        <v>3793</v>
      </c>
      <c r="G30">
        <f>SUM(G2:G29)-3500</f>
        <v>3564</v>
      </c>
      <c r="I30">
        <f t="shared" si="4"/>
        <v>5185</v>
      </c>
      <c r="K30">
        <f t="shared" si="4"/>
        <v>2500</v>
      </c>
      <c r="M30">
        <f t="shared" si="4"/>
        <v>11143</v>
      </c>
      <c r="N30" s="1">
        <f>SUM(B30:M30)</f>
        <v>99053</v>
      </c>
    </row>
    <row r="31" spans="2:14" x14ac:dyDescent="0.25">
      <c r="F31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workbookViewId="0">
      <pane ySplit="1" topLeftCell="A2" activePane="bottomLeft" state="frozen"/>
      <selection activeCell="D1" sqref="D1"/>
      <selection pane="bottomLeft" activeCell="F8" sqref="F8"/>
    </sheetView>
  </sheetViews>
  <sheetFormatPr defaultRowHeight="15" x14ac:dyDescent="0.25"/>
  <cols>
    <col min="1" max="1" width="18.5703125" customWidth="1"/>
    <col min="3" max="3" width="16.5703125" customWidth="1"/>
    <col min="5" max="5" width="23.7109375" customWidth="1"/>
    <col min="6" max="6" width="28.140625" customWidth="1"/>
    <col min="8" max="8" width="28.7109375" customWidth="1"/>
    <col min="10" max="10" width="19" customWidth="1"/>
    <col min="12" max="12" width="16.7109375" customWidth="1"/>
    <col min="14" max="14" width="14.7109375" customWidth="1"/>
  </cols>
  <sheetData>
    <row r="1" spans="1:15" x14ac:dyDescent="0.25">
      <c r="A1" s="1" t="s">
        <v>0</v>
      </c>
      <c r="B1" s="1"/>
      <c r="C1" s="1" t="s">
        <v>1</v>
      </c>
      <c r="D1" s="1"/>
      <c r="E1" s="1" t="s">
        <v>2</v>
      </c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</row>
    <row r="2" spans="1:15" x14ac:dyDescent="0.25">
      <c r="A2" t="s">
        <v>7</v>
      </c>
      <c r="B2">
        <v>20000</v>
      </c>
      <c r="C2" t="s">
        <v>8</v>
      </c>
      <c r="D2">
        <v>36500</v>
      </c>
      <c r="E2">
        <v>280</v>
      </c>
    </row>
    <row r="3" spans="1:15" ht="19.5" customHeight="1" x14ac:dyDescent="0.25">
      <c r="A3" t="s">
        <v>9</v>
      </c>
      <c r="B3">
        <v>2000</v>
      </c>
      <c r="C3" s="2" t="s">
        <v>58</v>
      </c>
      <c r="D3">
        <v>1500</v>
      </c>
      <c r="E3">
        <f>94+96</f>
        <v>190</v>
      </c>
      <c r="J3" s="2" t="s">
        <v>96</v>
      </c>
      <c r="K3">
        <v>150</v>
      </c>
      <c r="N3" t="s">
        <v>14</v>
      </c>
      <c r="O3" t="s">
        <v>21</v>
      </c>
    </row>
    <row r="4" spans="1:15" x14ac:dyDescent="0.25">
      <c r="A4" t="s">
        <v>11</v>
      </c>
      <c r="B4">
        <v>5000</v>
      </c>
      <c r="C4" t="s">
        <v>108</v>
      </c>
      <c r="D4">
        <v>1000</v>
      </c>
      <c r="E4">
        <f t="shared" ref="E4" si="0">94+96</f>
        <v>190</v>
      </c>
      <c r="F4" t="s">
        <v>26</v>
      </c>
      <c r="G4">
        <v>100</v>
      </c>
      <c r="N4" t="s">
        <v>22</v>
      </c>
      <c r="O4" t="s">
        <v>89</v>
      </c>
    </row>
    <row r="5" spans="1:15" x14ac:dyDescent="0.25">
      <c r="A5" t="s">
        <v>12</v>
      </c>
      <c r="B5">
        <v>2668</v>
      </c>
      <c r="E5">
        <f>94+135</f>
        <v>229</v>
      </c>
      <c r="F5" t="s">
        <v>37</v>
      </c>
      <c r="G5">
        <v>200</v>
      </c>
      <c r="H5" t="s">
        <v>101</v>
      </c>
      <c r="I5">
        <v>900</v>
      </c>
      <c r="N5" t="s">
        <v>23</v>
      </c>
    </row>
    <row r="6" spans="1:15" x14ac:dyDescent="0.25">
      <c r="A6" t="s">
        <v>14</v>
      </c>
      <c r="B6">
        <v>2000</v>
      </c>
      <c r="E6">
        <f>94+118</f>
        <v>212</v>
      </c>
      <c r="H6" t="s">
        <v>100</v>
      </c>
      <c r="I6">
        <v>870</v>
      </c>
    </row>
    <row r="7" spans="1:15" x14ac:dyDescent="0.25">
      <c r="A7" t="s">
        <v>76</v>
      </c>
      <c r="B7">
        <v>1000</v>
      </c>
      <c r="H7" t="s">
        <v>98</v>
      </c>
      <c r="I7">
        <v>930</v>
      </c>
    </row>
    <row r="8" spans="1:15" x14ac:dyDescent="0.25">
      <c r="E8">
        <v>280</v>
      </c>
      <c r="H8" t="s">
        <v>102</v>
      </c>
      <c r="I8">
        <v>791</v>
      </c>
      <c r="L8" t="s">
        <v>17</v>
      </c>
      <c r="M8">
        <v>210</v>
      </c>
      <c r="N8" t="s">
        <v>24</v>
      </c>
      <c r="O8" t="s">
        <v>25</v>
      </c>
    </row>
    <row r="9" spans="1:15" x14ac:dyDescent="0.25">
      <c r="E9">
        <f>94+96</f>
        <v>190</v>
      </c>
      <c r="H9" t="s">
        <v>103</v>
      </c>
      <c r="I9">
        <v>392</v>
      </c>
      <c r="L9" t="s">
        <v>18</v>
      </c>
      <c r="M9">
        <v>199</v>
      </c>
    </row>
    <row r="10" spans="1:15" x14ac:dyDescent="0.25">
      <c r="E10">
        <f t="shared" ref="E10:E12" si="1">94+96</f>
        <v>190</v>
      </c>
      <c r="H10" t="s">
        <v>104</v>
      </c>
      <c r="I10">
        <v>724</v>
      </c>
    </row>
    <row r="11" spans="1:15" x14ac:dyDescent="0.25">
      <c r="A11" t="s">
        <v>84</v>
      </c>
      <c r="E11">
        <f t="shared" si="1"/>
        <v>190</v>
      </c>
      <c r="H11" t="s">
        <v>105</v>
      </c>
      <c r="I11">
        <v>349</v>
      </c>
      <c r="L11" t="s">
        <v>19</v>
      </c>
      <c r="M11">
        <v>1278</v>
      </c>
    </row>
    <row r="12" spans="1:15" x14ac:dyDescent="0.25">
      <c r="A12" t="s">
        <v>85</v>
      </c>
      <c r="E12">
        <f t="shared" si="1"/>
        <v>190</v>
      </c>
      <c r="L12" t="s">
        <v>97</v>
      </c>
      <c r="M12">
        <v>1578</v>
      </c>
    </row>
    <row r="13" spans="1:15" x14ac:dyDescent="0.25">
      <c r="A13" t="s">
        <v>13</v>
      </c>
    </row>
    <row r="14" spans="1:15" x14ac:dyDescent="0.25">
      <c r="L14" t="s">
        <v>20</v>
      </c>
      <c r="M14">
        <v>200</v>
      </c>
    </row>
    <row r="15" spans="1:15" x14ac:dyDescent="0.25">
      <c r="E15">
        <v>280</v>
      </c>
    </row>
    <row r="16" spans="1:15" x14ac:dyDescent="0.25">
      <c r="E16">
        <f>94+96</f>
        <v>190</v>
      </c>
    </row>
    <row r="17" spans="2:14" x14ac:dyDescent="0.25">
      <c r="E17">
        <f t="shared" ref="E17:E19" si="2">94+96</f>
        <v>190</v>
      </c>
    </row>
    <row r="18" spans="2:14" x14ac:dyDescent="0.25">
      <c r="E18">
        <f t="shared" si="2"/>
        <v>190</v>
      </c>
    </row>
    <row r="19" spans="2:14" x14ac:dyDescent="0.25">
      <c r="E19">
        <f t="shared" si="2"/>
        <v>190</v>
      </c>
    </row>
    <row r="23" spans="2:14" x14ac:dyDescent="0.25">
      <c r="E23">
        <v>280</v>
      </c>
    </row>
    <row r="24" spans="2:14" x14ac:dyDescent="0.25">
      <c r="E24">
        <f>94+96</f>
        <v>190</v>
      </c>
    </row>
    <row r="25" spans="2:14" x14ac:dyDescent="0.25">
      <c r="E25">
        <f t="shared" ref="E25:E27" si="3">94+96</f>
        <v>190</v>
      </c>
    </row>
    <row r="26" spans="2:14" x14ac:dyDescent="0.25">
      <c r="E26">
        <f t="shared" si="3"/>
        <v>190</v>
      </c>
    </row>
    <row r="27" spans="2:14" x14ac:dyDescent="0.25">
      <c r="E27">
        <f t="shared" si="3"/>
        <v>190</v>
      </c>
    </row>
    <row r="32" spans="2:14" x14ac:dyDescent="0.25">
      <c r="B32">
        <f>SUM(B2:B31)</f>
        <v>32668</v>
      </c>
      <c r="D32">
        <f t="shared" ref="D32:M32" si="4">SUM(D2:D31)</f>
        <v>39000</v>
      </c>
      <c r="E32">
        <f t="shared" si="4"/>
        <v>4221</v>
      </c>
      <c r="G32">
        <f t="shared" si="4"/>
        <v>300</v>
      </c>
      <c r="I32">
        <f t="shared" si="4"/>
        <v>4956</v>
      </c>
      <c r="K32">
        <f t="shared" si="4"/>
        <v>150</v>
      </c>
      <c r="M32">
        <f t="shared" si="4"/>
        <v>3465</v>
      </c>
      <c r="N32">
        <f>SUM(B32:M32)</f>
        <v>84760</v>
      </c>
    </row>
    <row r="33" spans="6:6" x14ac:dyDescent="0.25">
      <c r="F3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2025-01-03T07:08:23Z</dcterms:created>
  <dcterms:modified xsi:type="dcterms:W3CDTF">2025-03-06T15:10:58Z</dcterms:modified>
</cp:coreProperties>
</file>