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upalibh\OneDrive - IRIS Software Group\Desktop\PS\Expense\"/>
    </mc:Choice>
  </mc:AlternateContent>
  <bookViews>
    <workbookView xWindow="-120" yWindow="-120" windowWidth="29040" windowHeight="15840" firstSheet="6" activeTab="10"/>
  </bookViews>
  <sheets>
    <sheet name="Jan" sheetId="1" r:id="rId1"/>
    <sheet name="Feb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" sheetId="9" r:id="rId9"/>
    <sheet name="Oct" sheetId="10" r:id="rId10"/>
    <sheet name="Interior " sheetId="12" r:id="rId11"/>
    <sheet name="Nov" sheetId="11" r:id="rId12"/>
    <sheet name="Dec" sheetId="13" r:id="rId13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2" i="13" l="1"/>
  <c r="M32" i="13"/>
  <c r="K32" i="13"/>
  <c r="I32" i="13"/>
  <c r="G32" i="13"/>
  <c r="D32" i="13"/>
  <c r="B32" i="13"/>
  <c r="D3" i="13"/>
  <c r="N31" i="11"/>
  <c r="M31" i="11"/>
  <c r="K31" i="11"/>
  <c r="I31" i="11"/>
  <c r="G31" i="11"/>
  <c r="F31" i="11"/>
  <c r="E31" i="11"/>
  <c r="D31" i="11"/>
  <c r="B31" i="11"/>
  <c r="G18" i="11"/>
  <c r="G16" i="11"/>
  <c r="G14" i="11"/>
  <c r="E12" i="11"/>
  <c r="E11" i="11"/>
  <c r="E10" i="11"/>
  <c r="G8" i="11"/>
  <c r="D3" i="11"/>
  <c r="B23" i="12"/>
  <c r="B15" i="12"/>
  <c r="B11" i="12"/>
  <c r="B10" i="12"/>
  <c r="B9" i="12"/>
  <c r="N32" i="10"/>
  <c r="M32" i="10"/>
  <c r="K32" i="10"/>
  <c r="I32" i="10"/>
  <c r="G32" i="10"/>
  <c r="E32" i="10"/>
  <c r="D32" i="10"/>
  <c r="B32" i="10"/>
  <c r="G30" i="10"/>
  <c r="E28" i="10"/>
  <c r="E20" i="10"/>
  <c r="E19" i="10"/>
  <c r="G15" i="10"/>
  <c r="K10" i="10"/>
  <c r="I8" i="10"/>
  <c r="E4" i="10"/>
  <c r="O31" i="9"/>
  <c r="N31" i="9"/>
  <c r="M31" i="9"/>
  <c r="K31" i="9"/>
  <c r="I31" i="9"/>
  <c r="G31" i="9"/>
  <c r="E31" i="9"/>
  <c r="D31" i="9"/>
  <c r="B31" i="9"/>
  <c r="E28" i="9"/>
  <c r="G4" i="9"/>
  <c r="O32" i="8"/>
  <c r="N32" i="8"/>
  <c r="M32" i="8"/>
  <c r="K32" i="8"/>
  <c r="I32" i="8"/>
  <c r="G32" i="8"/>
  <c r="E32" i="8"/>
  <c r="D32" i="8"/>
  <c r="B32" i="8"/>
  <c r="E14" i="8"/>
  <c r="N32" i="7"/>
  <c r="M32" i="7"/>
  <c r="K32" i="7"/>
  <c r="I32" i="7"/>
  <c r="G32" i="7"/>
  <c r="E32" i="7"/>
  <c r="D32" i="7"/>
  <c r="B32" i="7"/>
  <c r="E20" i="7"/>
  <c r="G8" i="7"/>
  <c r="O32" i="6"/>
  <c r="N32" i="6"/>
  <c r="M32" i="6"/>
  <c r="K32" i="6"/>
  <c r="I32" i="6"/>
  <c r="G32" i="6"/>
  <c r="E32" i="6"/>
  <c r="D32" i="6"/>
  <c r="B32" i="6"/>
  <c r="G25" i="6"/>
  <c r="G19" i="6"/>
  <c r="G10" i="6"/>
  <c r="O32" i="5"/>
  <c r="N32" i="5"/>
  <c r="M32" i="5"/>
  <c r="K32" i="5"/>
  <c r="I32" i="5"/>
  <c r="G32" i="5"/>
  <c r="E32" i="5"/>
  <c r="D32" i="5"/>
  <c r="B32" i="5"/>
  <c r="G30" i="5"/>
  <c r="E27" i="5"/>
  <c r="I26" i="5"/>
  <c r="M12" i="5"/>
  <c r="G12" i="5"/>
  <c r="N31" i="4"/>
  <c r="M31" i="4"/>
  <c r="K31" i="4"/>
  <c r="I31" i="4"/>
  <c r="G31" i="4"/>
  <c r="E31" i="4"/>
  <c r="D31" i="4"/>
  <c r="B31" i="4"/>
  <c r="E21" i="4"/>
  <c r="E16" i="4"/>
  <c r="E15" i="4"/>
  <c r="E11" i="4"/>
  <c r="E10" i="4"/>
  <c r="G9" i="4"/>
  <c r="N32" i="3"/>
  <c r="M32" i="3"/>
  <c r="K32" i="3"/>
  <c r="I32" i="3"/>
  <c r="G32" i="3"/>
  <c r="E32" i="3"/>
  <c r="D32" i="3"/>
  <c r="B32" i="3"/>
  <c r="G27" i="3"/>
  <c r="I23" i="3"/>
  <c r="E20" i="3"/>
  <c r="G19" i="3"/>
  <c r="G10" i="3"/>
  <c r="I7" i="3"/>
  <c r="G31" i="2"/>
  <c r="N30" i="2"/>
  <c r="M30" i="2"/>
  <c r="K30" i="2"/>
  <c r="I30" i="2"/>
  <c r="G30" i="2"/>
  <c r="E30" i="2"/>
  <c r="D30" i="2"/>
  <c r="B30" i="2"/>
  <c r="I25" i="2"/>
  <c r="E22" i="2"/>
  <c r="I12" i="2"/>
  <c r="K5" i="2"/>
  <c r="G33" i="1"/>
  <c r="N32" i="1"/>
  <c r="M32" i="1"/>
  <c r="K32" i="1"/>
  <c r="I32" i="1"/>
  <c r="G32" i="1"/>
  <c r="E32" i="1"/>
  <c r="D32" i="1"/>
  <c r="B32" i="1"/>
  <c r="E22" i="1"/>
  <c r="G19" i="1"/>
  <c r="G17" i="1"/>
  <c r="E11" i="1"/>
  <c r="E10" i="1"/>
  <c r="E8" i="1"/>
  <c r="G33" i="3" l="1"/>
</calcChain>
</file>

<file path=xl/sharedStrings.xml><?xml version="1.0" encoding="utf-8"?>
<sst xmlns="http://schemas.openxmlformats.org/spreadsheetml/2006/main" count="688" uniqueCount="395">
  <si>
    <t>Investments</t>
  </si>
  <si>
    <t>Monthly Emi</t>
  </si>
  <si>
    <t>petrol/transport</t>
  </si>
  <si>
    <t xml:space="preserve"> Grossary /festival/guest</t>
  </si>
  <si>
    <t>shopping/outing</t>
  </si>
  <si>
    <t>Other</t>
  </si>
  <si>
    <t>Personal expense</t>
  </si>
  <si>
    <t>PPF</t>
  </si>
  <si>
    <t>RD</t>
  </si>
  <si>
    <t>NPS: 50K</t>
  </si>
  <si>
    <t>RD: 48K</t>
  </si>
  <si>
    <t>3 BHK</t>
  </si>
  <si>
    <t>har wale kaka</t>
  </si>
  <si>
    <t>paper bill</t>
  </si>
  <si>
    <t xml:space="preserve">aai </t>
  </si>
  <si>
    <t>jio</t>
  </si>
  <si>
    <t>Vi</t>
  </si>
  <si>
    <t>UC</t>
  </si>
  <si>
    <t>yogesh rent</t>
  </si>
  <si>
    <t>basti</t>
  </si>
  <si>
    <t>bhaji</t>
  </si>
  <si>
    <t>khushi dress</t>
  </si>
  <si>
    <t>misal</t>
  </si>
  <si>
    <t>momos for yogi</t>
  </si>
  <si>
    <t>yogesh gave 4K</t>
  </si>
  <si>
    <t>mavshi expense by yogi</t>
  </si>
  <si>
    <t>straberries</t>
  </si>
  <si>
    <t>return gift for 3 nanand</t>
  </si>
  <si>
    <t>bhaji+apple</t>
  </si>
  <si>
    <t>tilgul+ magaj bee</t>
  </si>
  <si>
    <t>paneer+Lettuce+popcorn</t>
  </si>
  <si>
    <t>customize calender</t>
  </si>
  <si>
    <t>bread+seeds+brocoli</t>
  </si>
  <si>
    <t>fish</t>
  </si>
  <si>
    <t>bread+khade meeth+ flowers</t>
  </si>
  <si>
    <t>oli bhel for ashu</t>
  </si>
  <si>
    <t>RD: 52K</t>
  </si>
  <si>
    <t>oranges</t>
  </si>
  <si>
    <t>badam+ popcorn</t>
  </si>
  <si>
    <t>sweets for bhore</t>
  </si>
  <si>
    <t xml:space="preserve">nj india </t>
  </si>
  <si>
    <t>mueselli makhana lettuce</t>
  </si>
  <si>
    <t>bakarwadi for iris team</t>
  </si>
  <si>
    <t>harwale kaka</t>
  </si>
  <si>
    <t>MF</t>
  </si>
  <si>
    <t>Mutual:222K</t>
  </si>
  <si>
    <t>Mutual:237K</t>
  </si>
  <si>
    <t>honey + dried berries + green tea</t>
  </si>
  <si>
    <t>papai</t>
  </si>
  <si>
    <t>badam + eggs+kala watana</t>
  </si>
  <si>
    <t>colegate powder, toothbrush</t>
  </si>
  <si>
    <t>all out, chia sseds, dudh, naral</t>
  </si>
  <si>
    <t>oats flour, tofu</t>
  </si>
  <si>
    <t>planet marathi subscriontion</t>
  </si>
  <si>
    <t>aai facial + makeup</t>
  </si>
  <si>
    <t>organic gul</t>
  </si>
  <si>
    <t>blouse shilai</t>
  </si>
  <si>
    <t>my makeup</t>
  </si>
  <si>
    <t>mavshi expense by yogi: 3500</t>
  </si>
  <si>
    <t>Yogesh gave 3.5K</t>
  </si>
  <si>
    <t>all out for bhore's</t>
  </si>
  <si>
    <t>yogi bought gold</t>
  </si>
  <si>
    <t>sunscream + compact +facewash</t>
  </si>
  <si>
    <t>kaushik gharat fee</t>
  </si>
  <si>
    <t>bhaji+ lasun + kharbuj</t>
  </si>
  <si>
    <t>sankarshan vai spruha</t>
  </si>
  <si>
    <t>1L is given to Akash</t>
  </si>
  <si>
    <t>korade sir fees</t>
  </si>
  <si>
    <t>pani bottle</t>
  </si>
  <si>
    <t>ashu dress</t>
  </si>
  <si>
    <t>Mutual:252K</t>
  </si>
  <si>
    <t>RD: 56K</t>
  </si>
  <si>
    <t>aai</t>
  </si>
  <si>
    <t>7000 rent</t>
  </si>
  <si>
    <t>shahala for ishani</t>
  </si>
  <si>
    <t>momos+ pestry for me</t>
  </si>
  <si>
    <t>Misal with aai</t>
  </si>
  <si>
    <t>Firodiya</t>
  </si>
  <si>
    <t>green tea, tiffin, makhana, letuce</t>
  </si>
  <si>
    <t>apples</t>
  </si>
  <si>
    <t>sofa set cover</t>
  </si>
  <si>
    <t>Paneer</t>
  </si>
  <si>
    <t>Contry with emtec guys</t>
  </si>
  <si>
    <t>3L is given to Akash</t>
  </si>
  <si>
    <t>mavshi expense by yogi: 3600</t>
  </si>
  <si>
    <t>Yogesh gave 50K for maintainance of 3 bhk</t>
  </si>
  <si>
    <t>formal dress for me</t>
  </si>
  <si>
    <t>sonam</t>
  </si>
  <si>
    <t>sangam</t>
  </si>
  <si>
    <t xml:space="preserve">tai </t>
  </si>
  <si>
    <t>15K - io need to give</t>
  </si>
  <si>
    <t>dalimb</t>
  </si>
  <si>
    <t>aka lagnachi pudhachi goshta</t>
  </si>
  <si>
    <t>ice cream</t>
  </si>
  <si>
    <t>paneer+bru coffee+maggi masala+periperi</t>
  </si>
  <si>
    <t>haircut</t>
  </si>
  <si>
    <t>bhaji+ Dudh</t>
  </si>
  <si>
    <t>daliya</t>
  </si>
  <si>
    <t>udemy course</t>
  </si>
  <si>
    <t>gahar+brocolli+daba for yogi</t>
  </si>
  <si>
    <t>paneer, clips, jayphal, dhane, sabja</t>
  </si>
  <si>
    <t xml:space="preserve">methya </t>
  </si>
  <si>
    <t>sakal e paper subscription365</t>
  </si>
  <si>
    <t>sonography at sangam</t>
  </si>
  <si>
    <t>chandichi wati</t>
  </si>
  <si>
    <t>sadi for ashu</t>
  </si>
  <si>
    <t>garlic, chia seeds, shingada pith</t>
  </si>
  <si>
    <t>nyka cosmatics</t>
  </si>
  <si>
    <t>lip balm, moisurizer, perfume</t>
  </si>
  <si>
    <t>kulfi for bhore, shahala</t>
  </si>
  <si>
    <t>masala puri with ashu</t>
  </si>
  <si>
    <t>mangoes</t>
  </si>
  <si>
    <t>Mutual:267K</t>
  </si>
  <si>
    <t>RD: 60K</t>
  </si>
  <si>
    <t>Anar</t>
  </si>
  <si>
    <t>kanda, shahala and bhaji</t>
  </si>
  <si>
    <t>alteration</t>
  </si>
  <si>
    <t>Flowers for Sumit's dad</t>
  </si>
  <si>
    <t>ice cream for team</t>
  </si>
  <si>
    <t>vada pav fro home</t>
  </si>
  <si>
    <t>nyka lipstik ans serum</t>
  </si>
  <si>
    <t>bhaji, kanda</t>
  </si>
  <si>
    <t>, paneer, mashroom</t>
  </si>
  <si>
    <t>bhaji+ kanda pandhara</t>
  </si>
  <si>
    <t>PH daignostic ECG</t>
  </si>
  <si>
    <t>Shoe noise reducer</t>
  </si>
  <si>
    <t>contri for team dinner</t>
  </si>
  <si>
    <t>batata+ lasun</t>
  </si>
  <si>
    <t>nachanicha peeth ani shewaya</t>
  </si>
  <si>
    <t>Mutual:282K</t>
  </si>
  <si>
    <t>RD: 64K</t>
  </si>
  <si>
    <t>3400 by yogi</t>
  </si>
  <si>
    <t>25K - i need to give</t>
  </si>
  <si>
    <t>tai gave 10K</t>
  </si>
  <si>
    <t>hotstar subscription</t>
  </si>
  <si>
    <t>watch repair</t>
  </si>
  <si>
    <t>anar</t>
  </si>
  <si>
    <t>ashu baby shower gift</t>
  </si>
  <si>
    <t>Yogesh gave 60K for maintainance of 3 bhk</t>
  </si>
  <si>
    <t xml:space="preserve">yogesh gave 10k for maintainance </t>
  </si>
  <si>
    <t>water jar</t>
  </si>
  <si>
    <t>dahi mashroom</t>
  </si>
  <si>
    <t>bday dress for aai</t>
  </si>
  <si>
    <t>NPS: 1L</t>
  </si>
  <si>
    <t>NPS</t>
  </si>
  <si>
    <t>3 bhk own contri</t>
  </si>
  <si>
    <t>dahi paneer pudina jeera popcorn</t>
  </si>
  <si>
    <t>naral for ashu's oti bharan</t>
  </si>
  <si>
    <t>shirt dry clean</t>
  </si>
  <si>
    <t>tel+ bhaji</t>
  </si>
  <si>
    <t>imagica</t>
  </si>
  <si>
    <t>nigadi</t>
  </si>
  <si>
    <t>baking powder+ sambar masala</t>
  </si>
  <si>
    <t>chamomile tea, cocco powder</t>
  </si>
  <si>
    <t>books to read</t>
  </si>
  <si>
    <t>dinner with Bhore family</t>
  </si>
  <si>
    <t>anu anishka</t>
  </si>
  <si>
    <t>bhaji + tel</t>
  </si>
  <si>
    <t>madh+kande+mirchi+limbu+jambhul</t>
  </si>
  <si>
    <t>berrries dmart</t>
  </si>
  <si>
    <t>toll khopoli</t>
  </si>
  <si>
    <t>mangoes for bhore</t>
  </si>
  <si>
    <t>bhaji + paneer</t>
  </si>
  <si>
    <t>Movie with family</t>
  </si>
  <si>
    <t>popcorn</t>
  </si>
  <si>
    <t>milk</t>
  </si>
  <si>
    <t>gift card for akash khaires wedding</t>
  </si>
  <si>
    <t>ola</t>
  </si>
  <si>
    <t xml:space="preserve">iccream+ panipuri </t>
  </si>
  <si>
    <t>out of which yogesh gave 60000</t>
  </si>
  <si>
    <t>Mutual:300K</t>
  </si>
  <si>
    <t>RD: 68K</t>
  </si>
  <si>
    <t>corpus 64K</t>
  </si>
  <si>
    <t>mavshi sangeeta +</t>
  </si>
  <si>
    <t>vaishali</t>
  </si>
  <si>
    <t>keli</t>
  </si>
  <si>
    <t>usacha ras khali</t>
  </si>
  <si>
    <t>Akash gave 3L back</t>
  </si>
  <si>
    <t>korade sir</t>
  </si>
  <si>
    <t>khushi dress exchange</t>
  </si>
  <si>
    <t>naral pani for me</t>
  </si>
  <si>
    <t>body massage</t>
  </si>
  <si>
    <t>yogesh lended 50K</t>
  </si>
  <si>
    <t>yogesh 50 K for icici</t>
  </si>
  <si>
    <t>bhaji+dudh</t>
  </si>
  <si>
    <t>I need to give</t>
  </si>
  <si>
    <t>dmart: oates, seeds, powder, futane, salad</t>
  </si>
  <si>
    <t>paneer, dates. Popcorn, green tea</t>
  </si>
  <si>
    <t>Ashu sadi for gruhpravesh</t>
  </si>
  <si>
    <t xml:space="preserve">akash dress </t>
  </si>
  <si>
    <t xml:space="preserve">mitahi for Bhore's </t>
  </si>
  <si>
    <t>castor oil</t>
  </si>
  <si>
    <t>Homelane advance</t>
  </si>
  <si>
    <t>cake from pestry corner</t>
  </si>
  <si>
    <t>bananna, papai</t>
  </si>
  <si>
    <t>bhaji, dahi, khava, eggs</t>
  </si>
  <si>
    <t>momos with yogi</t>
  </si>
  <si>
    <t>rava cake for bhore's</t>
  </si>
  <si>
    <t>tai 25K</t>
  </si>
  <si>
    <t>tai ne 15K dile</t>
  </si>
  <si>
    <t>taila 15K return dile</t>
  </si>
  <si>
    <t>batata</t>
  </si>
  <si>
    <t>RD: 72K</t>
  </si>
  <si>
    <t>yogesh gave 3.5K</t>
  </si>
  <si>
    <t>pear</t>
  </si>
  <si>
    <t>flowers for Rutu's wedding</t>
  </si>
  <si>
    <t>dress for sonam's babies</t>
  </si>
  <si>
    <t>momos for yogi+masala paw</t>
  </si>
  <si>
    <t>jio studio subscription</t>
  </si>
  <si>
    <t>ITR</t>
  </si>
  <si>
    <t>methi, shepu</t>
  </si>
  <si>
    <t>cheese</t>
  </si>
  <si>
    <t>paneer, batate</t>
  </si>
  <si>
    <t>fruits</t>
  </si>
  <si>
    <t>cake contri</t>
  </si>
  <si>
    <t>topup in ecash card</t>
  </si>
  <si>
    <t>tomatoes</t>
  </si>
  <si>
    <t>ashu</t>
  </si>
  <si>
    <t>Fruits for ashu</t>
  </si>
  <si>
    <t>mithai for colleagues</t>
  </si>
  <si>
    <t>possession</t>
  </si>
  <si>
    <t>pavbhaji saman</t>
  </si>
  <si>
    <t>biryani from zomato</t>
  </si>
  <si>
    <t>amboli peeth</t>
  </si>
  <si>
    <t>lunch with emtec guys</t>
  </si>
  <si>
    <t>yogesh return 50K</t>
  </si>
  <si>
    <t>Jayant's gift contri</t>
  </si>
  <si>
    <t xml:space="preserve">bhaji </t>
  </si>
  <si>
    <t xml:space="preserve">hair cut </t>
  </si>
  <si>
    <t>cheese nugets, sandwitches, fries</t>
  </si>
  <si>
    <t>RD: 5K</t>
  </si>
  <si>
    <t>RD complete 72K</t>
  </si>
  <si>
    <t>jio video</t>
  </si>
  <si>
    <t>apples + papai</t>
  </si>
  <si>
    <t>shanta aai's gift</t>
  </si>
  <si>
    <t>mosquito bat</t>
  </si>
  <si>
    <t>vadapav for yogi, kalubai</t>
  </si>
  <si>
    <t>Got my ITR refund 30K</t>
  </si>
  <si>
    <t xml:space="preserve">massage yogi anniversary </t>
  </si>
  <si>
    <t>anar, oranges, sweet corns</t>
  </si>
  <si>
    <t>besan</t>
  </si>
  <si>
    <t>tai gave 30K</t>
  </si>
  <si>
    <t>tai 55K</t>
  </si>
  <si>
    <t>3.5K by yogi</t>
  </si>
  <si>
    <t>rakhi</t>
  </si>
  <si>
    <t>tubelight for bhore</t>
  </si>
  <si>
    <t>cake</t>
  </si>
  <si>
    <t>idali</t>
  </si>
  <si>
    <t>router for home</t>
  </si>
  <si>
    <t>powder kawayla gadi</t>
  </si>
  <si>
    <t>wafers</t>
  </si>
  <si>
    <t>garlic bread saman</t>
  </si>
  <si>
    <t>vergani for skyi H</t>
  </si>
  <si>
    <t>RD: 10K</t>
  </si>
  <si>
    <t>Mutual:317</t>
  </si>
  <si>
    <t>Mutual:351</t>
  </si>
  <si>
    <t>Mutual:333+7</t>
  </si>
  <si>
    <t>yogesh gave</t>
  </si>
  <si>
    <t>3.5K</t>
  </si>
  <si>
    <t>interior</t>
  </si>
  <si>
    <t>remianing grocerry ( lahya, sambar masala, masur , amsul, papad)</t>
  </si>
  <si>
    <t>dalan</t>
  </si>
  <si>
    <t>movie stree 2</t>
  </si>
  <si>
    <t>wrist watch for yogi</t>
  </si>
  <si>
    <t>tai 75K</t>
  </si>
  <si>
    <t>tai 20 k dile</t>
  </si>
  <si>
    <t>Ashu mulila gift chandichi wati</t>
  </si>
  <si>
    <t>akki's baby shower</t>
  </si>
  <si>
    <t>massage</t>
  </si>
  <si>
    <t>sadi iron</t>
  </si>
  <si>
    <t>yogi's bday cake+pestry</t>
  </si>
  <si>
    <t>kalpana aai/s bday pestry and ice cream</t>
  </si>
  <si>
    <t>prisha's bday gift</t>
  </si>
  <si>
    <t>lasun</t>
  </si>
  <si>
    <t>paneer, mashroom and cheese</t>
  </si>
  <si>
    <t>Homelane 308485</t>
  </si>
  <si>
    <t>total 616K</t>
  </si>
  <si>
    <t>Mutual:369</t>
  </si>
  <si>
    <t>RD: 15K</t>
  </si>
  <si>
    <t>250K</t>
  </si>
  <si>
    <t>pavbhaji for yogesh</t>
  </si>
  <si>
    <t>dinner with cybagians</t>
  </si>
  <si>
    <t>aajila  sadi</t>
  </si>
  <si>
    <t>korde sir</t>
  </si>
  <si>
    <t>pushottam bottle,chips</t>
  </si>
  <si>
    <t>meesho nigyt dress</t>
  </si>
  <si>
    <t>one piece</t>
  </si>
  <si>
    <t xml:space="preserve">tai 50K </t>
  </si>
  <si>
    <t>tai</t>
  </si>
  <si>
    <t>125K</t>
  </si>
  <si>
    <t>sobaticha karar</t>
  </si>
  <si>
    <t>gaw ticket</t>
  </si>
  <si>
    <t xml:space="preserve">taila 150K dile </t>
  </si>
  <si>
    <t>purushottam karandak</t>
  </si>
  <si>
    <t>pustak</t>
  </si>
  <si>
    <t>mithai for gaon</t>
  </si>
  <si>
    <t>oats+makhana</t>
  </si>
  <si>
    <t>return ticket</t>
  </si>
  <si>
    <t>Ajji</t>
  </si>
  <si>
    <t>ajji</t>
  </si>
  <si>
    <t>mavshila galyatla</t>
  </si>
  <si>
    <t>kharata</t>
  </si>
  <si>
    <t>manchau soup</t>
  </si>
  <si>
    <t>pizza</t>
  </si>
  <si>
    <t>dudh</t>
  </si>
  <si>
    <t>bike wash</t>
  </si>
  <si>
    <t>anu anishka bhaubeej gift</t>
  </si>
  <si>
    <t>kaju, magaj bee</t>
  </si>
  <si>
    <t>Teju tai bday cake</t>
  </si>
  <si>
    <t>Yogesh gave 3.5</t>
  </si>
  <si>
    <t>tai ne 10 K dile</t>
  </si>
  <si>
    <t>masala puri</t>
  </si>
  <si>
    <t>bhaji+sitafal</t>
  </si>
  <si>
    <t>serum</t>
  </si>
  <si>
    <t>soya chap+palak paneer</t>
  </si>
  <si>
    <t>pav bhaji</t>
  </si>
  <si>
    <t>Pandit farm exibition+mattha</t>
  </si>
  <si>
    <t>chair advance</t>
  </si>
  <si>
    <t>Artifact</t>
  </si>
  <si>
    <t>RD: 20K</t>
  </si>
  <si>
    <t>Diwali bonus</t>
  </si>
  <si>
    <t>tai 25 K dile</t>
  </si>
  <si>
    <t>35K</t>
  </si>
  <si>
    <t>yogesh mamanna</t>
  </si>
  <si>
    <t>1.25K</t>
  </si>
  <si>
    <t>yogesh ne mammana 1.25K dile</t>
  </si>
  <si>
    <t>Homalane</t>
  </si>
  <si>
    <t xml:space="preserve">Me </t>
  </si>
  <si>
    <t>Yogesh</t>
  </si>
  <si>
    <t>chair</t>
  </si>
  <si>
    <t>sarali wadi</t>
  </si>
  <si>
    <t>pre processing</t>
  </si>
  <si>
    <t>advance</t>
  </si>
  <si>
    <t>maintenance</t>
  </si>
  <si>
    <t>asech madat</t>
  </si>
  <si>
    <t>vitthal rakhumai</t>
  </si>
  <si>
    <t>kalakand saman</t>
  </si>
  <si>
    <t>shahala+fula+dudh, bolaki for pooja</t>
  </si>
  <si>
    <t>yogesh diwali dress</t>
  </si>
  <si>
    <t>maza dress</t>
  </si>
  <si>
    <t>ishita;s dress</t>
  </si>
  <si>
    <t>ver verche vadhu ver</t>
  </si>
  <si>
    <t>lunch at jejuri</t>
  </si>
  <si>
    <t>sofa advance</t>
  </si>
  <si>
    <t>geysers</t>
  </si>
  <si>
    <t>advance to jahangid</t>
  </si>
  <si>
    <t>sofa+ study table</t>
  </si>
  <si>
    <t>jahangid furniture</t>
  </si>
  <si>
    <t>painting</t>
  </si>
  <si>
    <t>Yogesh didn't give 3.5K</t>
  </si>
  <si>
    <t>got 30K loan from cybage</t>
  </si>
  <si>
    <t>fine for No parking</t>
  </si>
  <si>
    <t>indira medicins</t>
  </si>
  <si>
    <t>pani puri</t>
  </si>
  <si>
    <t>washroom cloth holder</t>
  </si>
  <si>
    <t>yogesh shirt</t>
  </si>
  <si>
    <t>bathroom brush, doormat</t>
  </si>
  <si>
    <t>kitchen napkins, slipers</t>
  </si>
  <si>
    <t>term plan</t>
  </si>
  <si>
    <t>washroom cloth holder+hangers</t>
  </si>
  <si>
    <t>radha krushan</t>
  </si>
  <si>
    <t>basin storage+kitchensticker</t>
  </si>
  <si>
    <t>kitchen napkin, doormat, bathroom slipers, toilet clearner brush</t>
  </si>
  <si>
    <t xml:space="preserve">term insurance </t>
  </si>
  <si>
    <t>ecash card topup</t>
  </si>
  <si>
    <t>fruits, pestry, karachi biscuits</t>
  </si>
  <si>
    <t>fan+all other lights</t>
  </si>
  <si>
    <t>ragada puri, masala puri</t>
  </si>
  <si>
    <t>dr.manisha joshi</t>
  </si>
  <si>
    <t>chandeleir+2 lights for wall trim</t>
  </si>
  <si>
    <t>hanging bulb</t>
  </si>
  <si>
    <t>discovery plus subscription</t>
  </si>
  <si>
    <t>soap dispencer, napkin holder</t>
  </si>
  <si>
    <t>moiserizer and lipstick</t>
  </si>
  <si>
    <t>fabrication</t>
  </si>
  <si>
    <t>light installation</t>
  </si>
  <si>
    <t>Lights false ceiling</t>
  </si>
  <si>
    <t>curtain</t>
  </si>
  <si>
    <t>artifact more</t>
  </si>
  <si>
    <t>curtains</t>
  </si>
  <si>
    <t>sofa cover+pillow</t>
  </si>
  <si>
    <t>gadi</t>
  </si>
  <si>
    <t>mirror</t>
  </si>
  <si>
    <t>mandir</t>
  </si>
  <si>
    <t>puffy</t>
  </si>
  <si>
    <t>wallpapers</t>
  </si>
  <si>
    <t>P.B basin storage+kitchensticker</t>
  </si>
  <si>
    <t>cusions, cycles</t>
  </si>
  <si>
    <t>watch pakshi, sticker</t>
  </si>
  <si>
    <t>RD: 25K</t>
  </si>
  <si>
    <t>Mutual:387K</t>
  </si>
  <si>
    <t>Mutual:405K</t>
  </si>
  <si>
    <t>remaing 26.5K</t>
  </si>
  <si>
    <t>watch pakshi, sticker, kapde walat ghalaycha</t>
  </si>
  <si>
    <t>malvan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</si>
</sst>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Jan!$B$32:$M$32</c:f>
              <c:numCache>
                <c:formatCode>General</c:formatCode>
                <c:ptCount val="12"/>
                <c:pt idx="0">
                  <c:v>21000</c:v>
                </c:pt>
                <c:pt idx="2">
                  <c:v>36500</c:v>
                </c:pt>
                <c:pt idx="3">
                  <c:v>4997</c:v>
                </c:pt>
                <c:pt idx="5">
                  <c:v>816</c:v>
                </c:pt>
                <c:pt idx="7">
                  <c:v>1610</c:v>
                </c:pt>
                <c:pt idx="9">
                  <c:v>11518</c:v>
                </c:pt>
                <c:pt idx="11">
                  <c:v>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B1-4D37-B707-9511575AC41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679202015"/>
        <c:axId val="1679145599"/>
        <c:axId val="0"/>
      </c:bar3DChart>
      <c:catAx>
        <c:axId val="16792020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145599"/>
        <c:crosses val="autoZero"/>
        <c:auto val="1"/>
        <c:lblAlgn val="ctr"/>
        <c:lblOffset val="100"/>
        <c:noMultiLvlLbl val="0"/>
      </c:catAx>
      <c:valAx>
        <c:axId val="167914559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79202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Feb!$B$30:$M$30</c:f>
              <c:numCache>
                <c:formatCode>General</c:formatCode>
                <c:ptCount val="12"/>
                <c:pt idx="0">
                  <c:v>21000</c:v>
                </c:pt>
                <c:pt idx="2">
                  <c:v>36500</c:v>
                </c:pt>
                <c:pt idx="3">
                  <c:v>2827</c:v>
                </c:pt>
                <c:pt idx="5">
                  <c:v>208</c:v>
                </c:pt>
                <c:pt idx="7">
                  <c:v>3596</c:v>
                </c:pt>
                <c:pt idx="9">
                  <c:v>8372</c:v>
                </c:pt>
                <c:pt idx="11">
                  <c:v>2311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B4-4CB7-AA40-8C006FE5BFA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467179264"/>
        <c:axId val="601117903"/>
        <c:axId val="0"/>
      </c:bar3DChart>
      <c:catAx>
        <c:axId val="1467179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117903"/>
        <c:crosses val="autoZero"/>
        <c:auto val="1"/>
        <c:lblAlgn val="ctr"/>
        <c:lblOffset val="100"/>
        <c:noMultiLvlLbl val="0"/>
      </c:catAx>
      <c:valAx>
        <c:axId val="60111790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67179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14</xdr:row>
      <xdr:rowOff>0</xdr:rowOff>
    </xdr:from>
    <xdr:to>
      <xdr:col>4</xdr:col>
      <xdr:colOff>342900</xdr:colOff>
      <xdr:row>24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803661-A1D0-793A-3053-8249642F01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15</xdr:row>
      <xdr:rowOff>66674</xdr:rowOff>
    </xdr:from>
    <xdr:to>
      <xdr:col>4</xdr:col>
      <xdr:colOff>647700</xdr:colOff>
      <xdr:row>26</xdr:row>
      <xdr:rowOff>138111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5C92CA-3D65-31DF-78E0-CB3B7C2668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topLeftCell="C1" workbookViewId="0">
      <pane ySplit="1" topLeftCell="A17" activePane="bottomLeft" state="frozen"/>
      <selection pane="bottomLeft" activeCell="F43" sqref="F43"/>
    </sheetView>
  </sheetViews>
  <sheetFormatPr defaultRowHeight="15" x14ac:dyDescent="0.25"/>
  <cols>
    <col min="1" max="1" width="13.85546875" customWidth="1"/>
    <col min="3" max="3" width="19.5703125" customWidth="1"/>
    <col min="5" max="5" width="14.85546875" customWidth="1"/>
    <col min="6" max="6" width="31.7109375" customWidth="1"/>
    <col min="8" max="8" width="20.28515625" customWidth="1"/>
    <col min="12" max="12" width="17.5703125" customWidth="1"/>
    <col min="13" max="13" width="15" customWidth="1"/>
    <col min="14" max="14" width="14" customWidth="1"/>
  </cols>
  <sheetData>
    <row r="1" spans="1:15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5" x14ac:dyDescent="0.25">
      <c r="A2" t="s">
        <v>44</v>
      </c>
      <c r="B2">
        <v>15000</v>
      </c>
      <c r="C2" t="s">
        <v>11</v>
      </c>
      <c r="D2">
        <v>36500</v>
      </c>
      <c r="E2">
        <v>160</v>
      </c>
      <c r="F2" t="s">
        <v>12</v>
      </c>
      <c r="G2">
        <v>300</v>
      </c>
      <c r="J2" t="s">
        <v>14</v>
      </c>
      <c r="K2">
        <v>3000</v>
      </c>
    </row>
    <row r="3" spans="1:15" x14ac:dyDescent="0.25">
      <c r="A3" t="s">
        <v>7</v>
      </c>
      <c r="B3">
        <v>2000</v>
      </c>
      <c r="C3" t="s">
        <v>25</v>
      </c>
      <c r="E3">
        <v>160</v>
      </c>
      <c r="F3" t="s">
        <v>13</v>
      </c>
      <c r="G3">
        <v>160</v>
      </c>
    </row>
    <row r="4" spans="1:15" x14ac:dyDescent="0.25">
      <c r="A4" t="s">
        <v>8</v>
      </c>
      <c r="B4">
        <v>4000</v>
      </c>
      <c r="E4">
        <v>160</v>
      </c>
    </row>
    <row r="5" spans="1:15" x14ac:dyDescent="0.25">
      <c r="E5">
        <v>160</v>
      </c>
      <c r="F5" t="s">
        <v>20</v>
      </c>
      <c r="G5">
        <v>235</v>
      </c>
      <c r="J5" t="s">
        <v>19</v>
      </c>
      <c r="K5">
        <v>8400</v>
      </c>
      <c r="N5" t="s">
        <v>18</v>
      </c>
      <c r="O5">
        <v>7000</v>
      </c>
    </row>
    <row r="6" spans="1:15" x14ac:dyDescent="0.25">
      <c r="E6">
        <v>390</v>
      </c>
      <c r="F6" t="s">
        <v>35</v>
      </c>
      <c r="G6">
        <v>60</v>
      </c>
      <c r="H6" t="s">
        <v>21</v>
      </c>
      <c r="I6">
        <v>370</v>
      </c>
    </row>
    <row r="7" spans="1:15" x14ac:dyDescent="0.25">
      <c r="F7" t="s">
        <v>22</v>
      </c>
      <c r="G7">
        <v>90</v>
      </c>
    </row>
    <row r="8" spans="1:15" x14ac:dyDescent="0.25">
      <c r="E8">
        <f>160+250</f>
        <v>410</v>
      </c>
      <c r="F8" t="s">
        <v>23</v>
      </c>
      <c r="G8">
        <v>90</v>
      </c>
      <c r="M8">
        <v>15</v>
      </c>
    </row>
    <row r="9" spans="1:15" x14ac:dyDescent="0.25">
      <c r="E9">
        <v>160</v>
      </c>
      <c r="M9">
        <v>15</v>
      </c>
    </row>
    <row r="10" spans="1:15" x14ac:dyDescent="0.25">
      <c r="E10">
        <f>80+240</f>
        <v>320</v>
      </c>
      <c r="F10" t="s">
        <v>26</v>
      </c>
      <c r="G10">
        <v>100</v>
      </c>
      <c r="L10" t="s">
        <v>15</v>
      </c>
      <c r="M10">
        <v>186</v>
      </c>
    </row>
    <row r="11" spans="1:15" x14ac:dyDescent="0.25">
      <c r="A11" t="s">
        <v>45</v>
      </c>
      <c r="E11">
        <f>240+412</f>
        <v>652</v>
      </c>
      <c r="L11" t="s">
        <v>16</v>
      </c>
      <c r="M11">
        <v>179</v>
      </c>
    </row>
    <row r="12" spans="1:15" x14ac:dyDescent="0.25">
      <c r="A12" t="s">
        <v>10</v>
      </c>
      <c r="E12">
        <v>60</v>
      </c>
    </row>
    <row r="13" spans="1:15" x14ac:dyDescent="0.25">
      <c r="A13" t="s">
        <v>9</v>
      </c>
      <c r="H13" t="s">
        <v>27</v>
      </c>
      <c r="I13">
        <v>950</v>
      </c>
      <c r="L13" t="s">
        <v>17</v>
      </c>
      <c r="M13">
        <v>320</v>
      </c>
    </row>
    <row r="14" spans="1:15" x14ac:dyDescent="0.25">
      <c r="E14">
        <v>380</v>
      </c>
      <c r="F14" t="s">
        <v>28</v>
      </c>
      <c r="G14">
        <v>245</v>
      </c>
    </row>
    <row r="15" spans="1:15" x14ac:dyDescent="0.25">
      <c r="E15">
        <v>160</v>
      </c>
      <c r="F15" t="s">
        <v>29</v>
      </c>
      <c r="G15">
        <v>80</v>
      </c>
      <c r="H15" t="s">
        <v>31</v>
      </c>
      <c r="I15">
        <v>290</v>
      </c>
    </row>
    <row r="16" spans="1:15" x14ac:dyDescent="0.25">
      <c r="E16">
        <v>160</v>
      </c>
      <c r="F16" t="s">
        <v>30</v>
      </c>
      <c r="G16">
        <v>224</v>
      </c>
    </row>
    <row r="17" spans="2:14" x14ac:dyDescent="0.25">
      <c r="E17">
        <v>160</v>
      </c>
      <c r="F17" t="s">
        <v>32</v>
      </c>
      <c r="G17">
        <f>26+90+110+15</f>
        <v>241</v>
      </c>
    </row>
    <row r="18" spans="2:14" x14ac:dyDescent="0.25">
      <c r="E18">
        <v>160</v>
      </c>
      <c r="F18" t="s">
        <v>33</v>
      </c>
      <c r="G18">
        <v>260</v>
      </c>
    </row>
    <row r="19" spans="2:14" x14ac:dyDescent="0.25">
      <c r="F19" t="s">
        <v>34</v>
      </c>
      <c r="G19">
        <f>260+22+60</f>
        <v>342</v>
      </c>
    </row>
    <row r="21" spans="2:14" x14ac:dyDescent="0.25">
      <c r="E21">
        <v>160</v>
      </c>
      <c r="F21" t="s">
        <v>20</v>
      </c>
      <c r="G21">
        <v>175</v>
      </c>
    </row>
    <row r="22" spans="2:14" x14ac:dyDescent="0.25">
      <c r="E22">
        <f>160+15+50</f>
        <v>225</v>
      </c>
      <c r="F22" t="s">
        <v>37</v>
      </c>
      <c r="G22">
        <v>100</v>
      </c>
    </row>
    <row r="23" spans="2:14" x14ac:dyDescent="0.25">
      <c r="E23">
        <v>160</v>
      </c>
      <c r="F23" t="s">
        <v>38</v>
      </c>
      <c r="G23">
        <v>255</v>
      </c>
      <c r="J23" t="s">
        <v>40</v>
      </c>
      <c r="K23">
        <v>118</v>
      </c>
    </row>
    <row r="24" spans="2:14" x14ac:dyDescent="0.25">
      <c r="E24">
        <v>160</v>
      </c>
      <c r="F24" t="s">
        <v>39</v>
      </c>
      <c r="G24">
        <v>303</v>
      </c>
    </row>
    <row r="25" spans="2:14" x14ac:dyDescent="0.25">
      <c r="F25" t="s">
        <v>20</v>
      </c>
      <c r="G25">
        <v>185</v>
      </c>
    </row>
    <row r="26" spans="2:14" x14ac:dyDescent="0.25">
      <c r="E26">
        <v>160</v>
      </c>
      <c r="F26" t="s">
        <v>41</v>
      </c>
      <c r="G26">
        <v>491</v>
      </c>
    </row>
    <row r="27" spans="2:14" x14ac:dyDescent="0.25">
      <c r="E27">
        <v>160</v>
      </c>
      <c r="F27" t="s">
        <v>42</v>
      </c>
      <c r="G27">
        <v>320</v>
      </c>
    </row>
    <row r="28" spans="2:14" x14ac:dyDescent="0.25">
      <c r="E28">
        <v>160</v>
      </c>
      <c r="F28" t="s">
        <v>47</v>
      </c>
      <c r="G28">
        <v>560</v>
      </c>
    </row>
    <row r="29" spans="2:14" x14ac:dyDescent="0.25">
      <c r="E29">
        <v>160</v>
      </c>
    </row>
    <row r="32" spans="2:14" x14ac:dyDescent="0.25">
      <c r="B32">
        <f>SUM(B2:B31)</f>
        <v>21000</v>
      </c>
      <c r="D32">
        <f t="shared" ref="D32:M32" si="0">SUM(D2:D31)</f>
        <v>36500</v>
      </c>
      <c r="E32">
        <f t="shared" si="0"/>
        <v>4997</v>
      </c>
      <c r="G32">
        <f>G33-4000</f>
        <v>816</v>
      </c>
      <c r="I32">
        <f t="shared" si="0"/>
        <v>1610</v>
      </c>
      <c r="K32">
        <f t="shared" si="0"/>
        <v>11518</v>
      </c>
      <c r="M32">
        <f t="shared" si="0"/>
        <v>715</v>
      </c>
      <c r="N32" s="3">
        <f>SUM(B32:M32)</f>
        <v>77156</v>
      </c>
    </row>
    <row r="33" spans="6:7" x14ac:dyDescent="0.25">
      <c r="F33" t="s">
        <v>24</v>
      </c>
      <c r="G33">
        <f>SUM(G2:G31)</f>
        <v>4816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workbookViewId="0">
      <pane ySplit="1" topLeftCell="A23" activePane="bottomLeft" state="frozen"/>
      <selection pane="bottomLeft" activeCell="N30" sqref="N30"/>
    </sheetView>
  </sheetViews>
  <sheetFormatPr defaultRowHeight="15" x14ac:dyDescent="0.25"/>
  <cols>
    <col min="1" max="1" width="11.5703125" customWidth="1"/>
    <col min="3" max="3" width="19.42578125" customWidth="1"/>
    <col min="5" max="5" width="17.28515625" customWidth="1"/>
    <col min="6" max="6" width="27.28515625" customWidth="1"/>
    <col min="8" max="8" width="22" customWidth="1"/>
    <col min="10" max="10" width="18.7109375" customWidth="1"/>
    <col min="12" max="12" width="18.5703125" customWidth="1"/>
    <col min="13" max="13" width="15.5703125" customWidth="1"/>
    <col min="14" max="14" width="8.42578125" customWidth="1"/>
    <col min="15" max="15" width="13.28515625" customWidth="1"/>
  </cols>
  <sheetData>
    <row r="1" spans="1:16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6" x14ac:dyDescent="0.25">
      <c r="A2" t="s">
        <v>44</v>
      </c>
      <c r="B2">
        <v>15000</v>
      </c>
      <c r="C2" t="s">
        <v>11</v>
      </c>
      <c r="D2">
        <v>36500</v>
      </c>
      <c r="E2">
        <v>160</v>
      </c>
      <c r="F2" t="s">
        <v>43</v>
      </c>
      <c r="G2">
        <v>300</v>
      </c>
    </row>
    <row r="3" spans="1:16" ht="30" x14ac:dyDescent="0.25">
      <c r="A3" t="s">
        <v>7</v>
      </c>
      <c r="B3">
        <v>2000</v>
      </c>
      <c r="C3" s="2" t="s">
        <v>58</v>
      </c>
      <c r="E3">
        <v>160</v>
      </c>
      <c r="F3" t="s">
        <v>13</v>
      </c>
      <c r="G3">
        <v>186</v>
      </c>
      <c r="M3">
        <v>19</v>
      </c>
    </row>
    <row r="4" spans="1:16" ht="30" x14ac:dyDescent="0.25">
      <c r="A4" t="s">
        <v>8</v>
      </c>
      <c r="B4">
        <v>4000</v>
      </c>
      <c r="F4" t="s">
        <v>48</v>
      </c>
      <c r="G4">
        <v>50</v>
      </c>
      <c r="J4" s="2" t="s">
        <v>53</v>
      </c>
      <c r="K4">
        <v>365</v>
      </c>
      <c r="M4">
        <v>17</v>
      </c>
      <c r="O4" t="s">
        <v>18</v>
      </c>
      <c r="P4">
        <v>7000</v>
      </c>
    </row>
    <row r="5" spans="1:16" x14ac:dyDescent="0.25">
      <c r="F5" t="s">
        <v>49</v>
      </c>
      <c r="G5">
        <v>440</v>
      </c>
      <c r="J5" t="s">
        <v>54</v>
      </c>
      <c r="K5">
        <f>707+2600-3000</f>
        <v>307</v>
      </c>
      <c r="M5">
        <v>17</v>
      </c>
    </row>
    <row r="6" spans="1:16" x14ac:dyDescent="0.25">
      <c r="E6">
        <v>390</v>
      </c>
      <c r="F6" t="s">
        <v>50</v>
      </c>
    </row>
    <row r="7" spans="1:16" x14ac:dyDescent="0.25">
      <c r="E7">
        <v>160</v>
      </c>
      <c r="F7" t="s">
        <v>51</v>
      </c>
      <c r="G7">
        <v>333</v>
      </c>
      <c r="L7" t="s">
        <v>15</v>
      </c>
      <c r="M7">
        <v>179</v>
      </c>
    </row>
    <row r="8" spans="1:16" x14ac:dyDescent="0.25">
      <c r="E8">
        <v>160</v>
      </c>
      <c r="F8" t="s">
        <v>52</v>
      </c>
      <c r="G8">
        <v>190</v>
      </c>
      <c r="L8" t="s">
        <v>16</v>
      </c>
      <c r="M8">
        <v>179</v>
      </c>
    </row>
    <row r="9" spans="1:16" x14ac:dyDescent="0.25">
      <c r="E9">
        <v>160</v>
      </c>
      <c r="F9" t="s">
        <v>20</v>
      </c>
      <c r="G9">
        <v>162</v>
      </c>
      <c r="J9" t="s">
        <v>56</v>
      </c>
      <c r="K9">
        <v>500</v>
      </c>
    </row>
    <row r="10" spans="1:16" x14ac:dyDescent="0.25">
      <c r="F10" t="s">
        <v>60</v>
      </c>
      <c r="G10">
        <v>105</v>
      </c>
      <c r="L10" t="s">
        <v>17</v>
      </c>
      <c r="M10">
        <v>1900</v>
      </c>
    </row>
    <row r="11" spans="1:16" x14ac:dyDescent="0.25">
      <c r="A11" t="s">
        <v>46</v>
      </c>
      <c r="F11" t="s">
        <v>55</v>
      </c>
      <c r="G11">
        <v>100</v>
      </c>
    </row>
    <row r="12" spans="1:16" ht="30" x14ac:dyDescent="0.25">
      <c r="A12" t="s">
        <v>36</v>
      </c>
      <c r="H12" s="2" t="s">
        <v>62</v>
      </c>
      <c r="I12">
        <f>184+456</f>
        <v>640</v>
      </c>
      <c r="J12" t="s">
        <v>57</v>
      </c>
      <c r="K12">
        <v>5500</v>
      </c>
    </row>
    <row r="13" spans="1:16" x14ac:dyDescent="0.25">
      <c r="A13" t="s">
        <v>9</v>
      </c>
    </row>
    <row r="14" spans="1:16" x14ac:dyDescent="0.25">
      <c r="C14" t="s">
        <v>61</v>
      </c>
    </row>
    <row r="16" spans="1:16" x14ac:dyDescent="0.25">
      <c r="F16" t="s">
        <v>64</v>
      </c>
      <c r="G16">
        <v>370</v>
      </c>
      <c r="J16" t="s">
        <v>63</v>
      </c>
      <c r="K16">
        <v>1000</v>
      </c>
    </row>
    <row r="17" spans="2:15" x14ac:dyDescent="0.25">
      <c r="O17" t="s">
        <v>66</v>
      </c>
    </row>
    <row r="19" spans="2:15" x14ac:dyDescent="0.25">
      <c r="E19">
        <v>320</v>
      </c>
    </row>
    <row r="20" spans="2:15" x14ac:dyDescent="0.25">
      <c r="F20" t="s">
        <v>69</v>
      </c>
      <c r="G20">
        <v>600</v>
      </c>
      <c r="H20" t="s">
        <v>80</v>
      </c>
      <c r="I20">
        <v>1176</v>
      </c>
    </row>
    <row r="21" spans="2:15" x14ac:dyDescent="0.25">
      <c r="E21">
        <v>160</v>
      </c>
      <c r="F21" t="s">
        <v>74</v>
      </c>
      <c r="G21">
        <v>120</v>
      </c>
      <c r="H21" t="s">
        <v>65</v>
      </c>
      <c r="I21">
        <v>500</v>
      </c>
      <c r="J21" t="s">
        <v>67</v>
      </c>
      <c r="K21">
        <v>700</v>
      </c>
    </row>
    <row r="22" spans="2:15" x14ac:dyDescent="0.25">
      <c r="E22">
        <f>160+37</f>
        <v>197</v>
      </c>
      <c r="H22" t="s">
        <v>68</v>
      </c>
      <c r="I22">
        <v>20</v>
      </c>
    </row>
    <row r="23" spans="2:15" x14ac:dyDescent="0.25">
      <c r="E23">
        <v>160</v>
      </c>
    </row>
    <row r="24" spans="2:15" x14ac:dyDescent="0.25">
      <c r="E24">
        <v>160</v>
      </c>
      <c r="F24" t="s">
        <v>20</v>
      </c>
      <c r="G24">
        <v>195</v>
      </c>
      <c r="H24" t="s">
        <v>77</v>
      </c>
      <c r="I24">
        <v>900</v>
      </c>
    </row>
    <row r="25" spans="2:15" x14ac:dyDescent="0.25">
      <c r="F25" t="s">
        <v>78</v>
      </c>
      <c r="G25">
        <v>457</v>
      </c>
      <c r="H25" t="s">
        <v>75</v>
      </c>
      <c r="I25">
        <f>90+40</f>
        <v>130</v>
      </c>
    </row>
    <row r="26" spans="2:15" x14ac:dyDescent="0.25">
      <c r="E26">
        <v>160</v>
      </c>
      <c r="F26" t="s">
        <v>79</v>
      </c>
      <c r="G26">
        <v>100</v>
      </c>
      <c r="H26" t="s">
        <v>76</v>
      </c>
      <c r="I26">
        <v>230</v>
      </c>
    </row>
    <row r="27" spans="2:15" x14ac:dyDescent="0.25">
      <c r="E27">
        <v>160</v>
      </c>
    </row>
    <row r="28" spans="2:15" x14ac:dyDescent="0.25">
      <c r="E28">
        <v>160</v>
      </c>
    </row>
    <row r="29" spans="2:15" x14ac:dyDescent="0.25">
      <c r="E29">
        <v>160</v>
      </c>
    </row>
    <row r="30" spans="2:15" x14ac:dyDescent="0.25">
      <c r="B30">
        <f>SUM(B2:B29)</f>
        <v>21000</v>
      </c>
      <c r="D30">
        <f t="shared" ref="D30:M30" si="0">SUM(D2:D29)</f>
        <v>36500</v>
      </c>
      <c r="E30">
        <f t="shared" si="0"/>
        <v>2827</v>
      </c>
      <c r="G30">
        <f>SUM(G2:G26)-3500</f>
        <v>208</v>
      </c>
      <c r="I30">
        <f t="shared" si="0"/>
        <v>3596</v>
      </c>
      <c r="K30">
        <f t="shared" si="0"/>
        <v>8372</v>
      </c>
      <c r="M30">
        <f t="shared" si="0"/>
        <v>2311</v>
      </c>
      <c r="N30" s="3">
        <f>SUM(B30:M30)</f>
        <v>74814</v>
      </c>
    </row>
    <row r="31" spans="2:15" x14ac:dyDescent="0.25">
      <c r="F31" t="s">
        <v>59</v>
      </c>
      <c r="G31">
        <f>SUM(G2:G26)</f>
        <v>3708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pane ySplit="1" topLeftCell="A17" activePane="bottomLeft" state="frozen"/>
      <selection pane="bottomLeft" activeCell="N32" sqref="N32"/>
    </sheetView>
  </sheetViews>
  <sheetFormatPr defaultRowHeight="15" x14ac:dyDescent="0.25"/>
  <cols>
    <col min="1" max="1" width="15.85546875" customWidth="1"/>
    <col min="3" max="3" width="17.28515625" customWidth="1"/>
    <col min="5" max="5" width="15.5703125" customWidth="1"/>
    <col min="6" max="6" width="28.5703125" customWidth="1"/>
    <col min="8" max="8" width="21.85546875" customWidth="1"/>
    <col min="10" max="10" width="21.85546875" customWidth="1"/>
    <col min="12" max="12" width="17" customWidth="1"/>
  </cols>
  <sheetData>
    <row r="1" spans="1:15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5" x14ac:dyDescent="0.25">
      <c r="A2" t="s">
        <v>44</v>
      </c>
      <c r="B2">
        <v>15000</v>
      </c>
      <c r="C2" t="s">
        <v>11</v>
      </c>
      <c r="D2">
        <v>36500</v>
      </c>
      <c r="J2" t="s">
        <v>72</v>
      </c>
      <c r="K2">
        <v>3000</v>
      </c>
    </row>
    <row r="3" spans="1:15" ht="30" x14ac:dyDescent="0.25">
      <c r="A3" t="s">
        <v>7</v>
      </c>
      <c r="B3">
        <v>2000</v>
      </c>
      <c r="C3" s="2" t="s">
        <v>84</v>
      </c>
      <c r="E3">
        <v>320</v>
      </c>
      <c r="F3" t="s">
        <v>81</v>
      </c>
      <c r="G3">
        <v>100</v>
      </c>
    </row>
    <row r="4" spans="1:15" x14ac:dyDescent="0.25">
      <c r="A4" t="s">
        <v>8</v>
      </c>
      <c r="B4">
        <v>4000</v>
      </c>
      <c r="E4">
        <v>160</v>
      </c>
      <c r="F4" t="s">
        <v>43</v>
      </c>
      <c r="G4">
        <v>300</v>
      </c>
      <c r="J4" t="s">
        <v>82</v>
      </c>
      <c r="K4">
        <v>500</v>
      </c>
      <c r="N4" t="s">
        <v>89</v>
      </c>
      <c r="O4" t="s">
        <v>90</v>
      </c>
    </row>
    <row r="5" spans="1:15" x14ac:dyDescent="0.25">
      <c r="E5">
        <v>160</v>
      </c>
      <c r="F5" t="s">
        <v>13</v>
      </c>
      <c r="G5">
        <v>186</v>
      </c>
      <c r="N5" t="s">
        <v>83</v>
      </c>
    </row>
    <row r="6" spans="1:15" x14ac:dyDescent="0.25">
      <c r="E6">
        <v>160</v>
      </c>
      <c r="F6" t="s">
        <v>20</v>
      </c>
      <c r="G6">
        <v>170</v>
      </c>
      <c r="M6">
        <v>19</v>
      </c>
    </row>
    <row r="7" spans="1:15" x14ac:dyDescent="0.25">
      <c r="E7">
        <v>160</v>
      </c>
      <c r="H7" t="s">
        <v>86</v>
      </c>
      <c r="I7">
        <f>296+489+229+376+576+803</f>
        <v>2769</v>
      </c>
      <c r="M7">
        <v>19</v>
      </c>
      <c r="N7" t="s">
        <v>85</v>
      </c>
    </row>
    <row r="8" spans="1:15" x14ac:dyDescent="0.25">
      <c r="H8" t="s">
        <v>87</v>
      </c>
      <c r="I8">
        <v>999</v>
      </c>
      <c r="L8" t="s">
        <v>15</v>
      </c>
      <c r="M8">
        <v>179</v>
      </c>
    </row>
    <row r="9" spans="1:15" x14ac:dyDescent="0.25">
      <c r="L9" t="s">
        <v>16</v>
      </c>
      <c r="M9">
        <v>179</v>
      </c>
    </row>
    <row r="10" spans="1:15" x14ac:dyDescent="0.25">
      <c r="F10" t="s">
        <v>20</v>
      </c>
      <c r="G10">
        <f>10+15+35+40+30</f>
        <v>130</v>
      </c>
    </row>
    <row r="11" spans="1:15" x14ac:dyDescent="0.25">
      <c r="A11" t="s">
        <v>70</v>
      </c>
      <c r="E11">
        <v>160</v>
      </c>
      <c r="J11" t="s">
        <v>88</v>
      </c>
      <c r="K11">
        <v>600</v>
      </c>
      <c r="L11" t="s">
        <v>17</v>
      </c>
      <c r="M11">
        <v>1007</v>
      </c>
      <c r="N11" t="s">
        <v>73</v>
      </c>
    </row>
    <row r="12" spans="1:15" x14ac:dyDescent="0.25">
      <c r="A12" t="s">
        <v>71</v>
      </c>
      <c r="E12">
        <v>160</v>
      </c>
      <c r="F12" t="s">
        <v>79</v>
      </c>
      <c r="G12">
        <v>100</v>
      </c>
    </row>
    <row r="13" spans="1:15" x14ac:dyDescent="0.25">
      <c r="A13" t="s">
        <v>9</v>
      </c>
      <c r="E13">
        <v>160</v>
      </c>
      <c r="F13" t="s">
        <v>91</v>
      </c>
      <c r="G13">
        <v>100</v>
      </c>
    </row>
    <row r="14" spans="1:15" x14ac:dyDescent="0.25">
      <c r="E14">
        <v>160</v>
      </c>
      <c r="F14" t="s">
        <v>93</v>
      </c>
      <c r="G14">
        <v>105</v>
      </c>
    </row>
    <row r="15" spans="1:15" ht="30" x14ac:dyDescent="0.25">
      <c r="F15" s="2" t="s">
        <v>94</v>
      </c>
      <c r="G15">
        <v>244</v>
      </c>
      <c r="J15" s="2" t="s">
        <v>92</v>
      </c>
      <c r="K15">
        <v>1080</v>
      </c>
      <c r="L15" t="s">
        <v>95</v>
      </c>
      <c r="M15">
        <v>250</v>
      </c>
    </row>
    <row r="17" spans="2:14" x14ac:dyDescent="0.25">
      <c r="E17">
        <v>320</v>
      </c>
      <c r="F17" t="s">
        <v>20</v>
      </c>
      <c r="G17">
        <v>67</v>
      </c>
    </row>
    <row r="18" spans="2:14" x14ac:dyDescent="0.25">
      <c r="E18">
        <v>160</v>
      </c>
      <c r="F18" t="s">
        <v>97</v>
      </c>
      <c r="G18">
        <v>100</v>
      </c>
    </row>
    <row r="19" spans="2:14" x14ac:dyDescent="0.25">
      <c r="E19">
        <v>160</v>
      </c>
      <c r="F19" t="s">
        <v>96</v>
      </c>
      <c r="G19">
        <f>28+30+40+20</f>
        <v>118</v>
      </c>
      <c r="J19" t="s">
        <v>98</v>
      </c>
      <c r="K19">
        <v>500</v>
      </c>
    </row>
    <row r="20" spans="2:14" x14ac:dyDescent="0.25">
      <c r="E20">
        <f>80+242</f>
        <v>322</v>
      </c>
    </row>
    <row r="21" spans="2:14" x14ac:dyDescent="0.25">
      <c r="E21">
        <v>160</v>
      </c>
      <c r="F21" t="s">
        <v>99</v>
      </c>
      <c r="G21">
        <v>445</v>
      </c>
    </row>
    <row r="22" spans="2:14" x14ac:dyDescent="0.25">
      <c r="F22" t="s">
        <v>100</v>
      </c>
      <c r="J22" t="s">
        <v>102</v>
      </c>
      <c r="K22">
        <v>365</v>
      </c>
    </row>
    <row r="23" spans="2:14" x14ac:dyDescent="0.25">
      <c r="F23" t="s">
        <v>101</v>
      </c>
      <c r="H23" t="s">
        <v>107</v>
      </c>
      <c r="I23">
        <f>235+405+540</f>
        <v>1180</v>
      </c>
    </row>
    <row r="24" spans="2:14" ht="30" x14ac:dyDescent="0.25">
      <c r="E24">
        <v>160</v>
      </c>
      <c r="H24" s="2" t="s">
        <v>108</v>
      </c>
    </row>
    <row r="25" spans="2:14" x14ac:dyDescent="0.25">
      <c r="E25">
        <v>160</v>
      </c>
      <c r="F25" t="s">
        <v>106</v>
      </c>
      <c r="G25">
        <v>335</v>
      </c>
      <c r="J25" t="s">
        <v>103</v>
      </c>
      <c r="K25">
        <v>600</v>
      </c>
    </row>
    <row r="26" spans="2:14" x14ac:dyDescent="0.25">
      <c r="E26">
        <v>160</v>
      </c>
      <c r="F26" t="s">
        <v>111</v>
      </c>
      <c r="G26">
        <v>1200</v>
      </c>
      <c r="H26" t="s">
        <v>104</v>
      </c>
      <c r="I26">
        <v>3000</v>
      </c>
    </row>
    <row r="27" spans="2:14" x14ac:dyDescent="0.25">
      <c r="E27">
        <v>160</v>
      </c>
      <c r="F27" t="s">
        <v>109</v>
      </c>
      <c r="G27">
        <f>80+120</f>
        <v>200</v>
      </c>
      <c r="H27" t="s">
        <v>105</v>
      </c>
      <c r="I27">
        <v>1500</v>
      </c>
    </row>
    <row r="28" spans="2:14" x14ac:dyDescent="0.25">
      <c r="F28" t="s">
        <v>110</v>
      </c>
      <c r="G28">
        <v>60</v>
      </c>
    </row>
    <row r="29" spans="2:14" x14ac:dyDescent="0.25">
      <c r="F29" t="s">
        <v>20</v>
      </c>
      <c r="G29">
        <v>150</v>
      </c>
    </row>
    <row r="32" spans="2:14" x14ac:dyDescent="0.25">
      <c r="B32">
        <f>SUM(B2:B31)</f>
        <v>21000</v>
      </c>
      <c r="D32">
        <f t="shared" ref="D32:M32" si="0">SUM(D2:D31)</f>
        <v>36500</v>
      </c>
      <c r="E32">
        <f t="shared" si="0"/>
        <v>3362</v>
      </c>
      <c r="G32">
        <f>SUM(G2:G31)-3400</f>
        <v>710</v>
      </c>
      <c r="I32">
        <f t="shared" si="0"/>
        <v>9448</v>
      </c>
      <c r="K32">
        <f t="shared" si="0"/>
        <v>6645</v>
      </c>
      <c r="M32">
        <f t="shared" si="0"/>
        <v>1653</v>
      </c>
      <c r="N32" s="3">
        <f>SUM(B32:M32)</f>
        <v>79318</v>
      </c>
    </row>
    <row r="33" spans="7:7" x14ac:dyDescent="0.25">
      <c r="G33">
        <f ca="1">SUM(G2:G36)</f>
        <v>4596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pane ySplit="1" topLeftCell="A2" activePane="bottomLeft" state="frozen"/>
      <selection pane="bottomLeft" activeCell="E42" sqref="E42"/>
    </sheetView>
  </sheetViews>
  <sheetFormatPr defaultRowHeight="15" x14ac:dyDescent="0.25"/>
  <cols>
    <col min="1" max="1" width="15.140625" customWidth="1"/>
    <col min="2" max="2" width="9.140625" customWidth="1"/>
    <col min="3" max="3" width="21.42578125" customWidth="1"/>
    <col min="4" max="4" width="13.140625" customWidth="1"/>
    <col min="5" max="5" width="29.5703125" customWidth="1"/>
    <col min="6" max="6" width="29.28515625" customWidth="1"/>
    <col min="8" max="8" width="20.140625" customWidth="1"/>
    <col min="10" max="10" width="22.42578125" customWidth="1"/>
    <col min="12" max="12" width="22.140625" customWidth="1"/>
    <col min="18" max="18" width="9.140625" customWidth="1"/>
  </cols>
  <sheetData>
    <row r="1" spans="1:16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6" x14ac:dyDescent="0.25">
      <c r="A2" t="s">
        <v>44</v>
      </c>
      <c r="B2">
        <v>15000</v>
      </c>
      <c r="C2" t="s">
        <v>11</v>
      </c>
      <c r="D2">
        <v>36500</v>
      </c>
      <c r="E2">
        <v>180</v>
      </c>
      <c r="F2" t="s">
        <v>43</v>
      </c>
      <c r="G2">
        <v>300</v>
      </c>
      <c r="J2" t="s">
        <v>72</v>
      </c>
      <c r="K2">
        <v>3000</v>
      </c>
    </row>
    <row r="3" spans="1:16" ht="30" x14ac:dyDescent="0.25">
      <c r="A3" t="s">
        <v>7</v>
      </c>
      <c r="B3">
        <v>2000</v>
      </c>
      <c r="C3" s="2" t="s">
        <v>84</v>
      </c>
      <c r="E3">
        <v>180</v>
      </c>
      <c r="F3" t="s">
        <v>13</v>
      </c>
      <c r="G3">
        <v>186</v>
      </c>
    </row>
    <row r="4" spans="1:16" x14ac:dyDescent="0.25">
      <c r="A4" t="s">
        <v>8</v>
      </c>
      <c r="B4">
        <v>4000</v>
      </c>
      <c r="E4">
        <v>180</v>
      </c>
      <c r="F4" t="s">
        <v>114</v>
      </c>
      <c r="G4">
        <v>100</v>
      </c>
      <c r="O4" t="s">
        <v>89</v>
      </c>
      <c r="P4" t="s">
        <v>132</v>
      </c>
    </row>
    <row r="5" spans="1:16" x14ac:dyDescent="0.25">
      <c r="E5">
        <v>180</v>
      </c>
      <c r="F5" t="s">
        <v>115</v>
      </c>
      <c r="G5">
        <v>250</v>
      </c>
      <c r="O5" t="s">
        <v>83</v>
      </c>
    </row>
    <row r="6" spans="1:16" x14ac:dyDescent="0.25">
      <c r="E6">
        <v>380</v>
      </c>
      <c r="F6" t="s">
        <v>116</v>
      </c>
      <c r="G6">
        <v>40</v>
      </c>
    </row>
    <row r="7" spans="1:16" x14ac:dyDescent="0.25">
      <c r="F7" t="s">
        <v>117</v>
      </c>
      <c r="G7">
        <v>150</v>
      </c>
      <c r="L7" t="s">
        <v>124</v>
      </c>
      <c r="M7">
        <v>350</v>
      </c>
      <c r="O7" t="s">
        <v>138</v>
      </c>
    </row>
    <row r="8" spans="1:16" x14ac:dyDescent="0.25">
      <c r="E8">
        <v>180</v>
      </c>
      <c r="O8" t="s">
        <v>73</v>
      </c>
    </row>
    <row r="9" spans="1:16" x14ac:dyDescent="0.25">
      <c r="E9">
        <v>180</v>
      </c>
      <c r="F9" t="s">
        <v>123</v>
      </c>
      <c r="G9">
        <f>30+50+20+20+100+60+95</f>
        <v>375</v>
      </c>
      <c r="L9" t="s">
        <v>15</v>
      </c>
      <c r="M9">
        <v>181</v>
      </c>
    </row>
    <row r="10" spans="1:16" x14ac:dyDescent="0.25">
      <c r="E10">
        <f>90+236</f>
        <v>326</v>
      </c>
      <c r="F10" t="s">
        <v>119</v>
      </c>
      <c r="G10">
        <v>96</v>
      </c>
      <c r="L10" t="s">
        <v>16</v>
      </c>
      <c r="M10">
        <v>181</v>
      </c>
    </row>
    <row r="11" spans="1:16" x14ac:dyDescent="0.25">
      <c r="A11" t="s">
        <v>112</v>
      </c>
      <c r="E11">
        <f>90+271</f>
        <v>361</v>
      </c>
    </row>
    <row r="12" spans="1:16" x14ac:dyDescent="0.25">
      <c r="A12" t="s">
        <v>113</v>
      </c>
      <c r="F12" t="s">
        <v>111</v>
      </c>
      <c r="G12">
        <v>500</v>
      </c>
      <c r="L12" t="s">
        <v>17</v>
      </c>
      <c r="M12">
        <v>1007</v>
      </c>
    </row>
    <row r="13" spans="1:16" x14ac:dyDescent="0.25">
      <c r="A13" t="s">
        <v>9</v>
      </c>
      <c r="J13" t="s">
        <v>118</v>
      </c>
      <c r="K13">
        <v>330</v>
      </c>
    </row>
    <row r="15" spans="1:16" x14ac:dyDescent="0.25">
      <c r="E15">
        <f>90+145</f>
        <v>235</v>
      </c>
      <c r="H15" t="s">
        <v>125</v>
      </c>
      <c r="I15">
        <v>199</v>
      </c>
    </row>
    <row r="16" spans="1:16" x14ac:dyDescent="0.25">
      <c r="E16">
        <f>150+80</f>
        <v>230</v>
      </c>
      <c r="F16" t="s">
        <v>121</v>
      </c>
      <c r="G16">
        <v>232</v>
      </c>
      <c r="H16" t="s">
        <v>120</v>
      </c>
      <c r="I16">
        <v>1646</v>
      </c>
    </row>
    <row r="17" spans="2:14" x14ac:dyDescent="0.25">
      <c r="E17">
        <v>180</v>
      </c>
      <c r="F17" t="s">
        <v>122</v>
      </c>
    </row>
    <row r="18" spans="2:14" x14ac:dyDescent="0.25">
      <c r="E18">
        <v>180</v>
      </c>
    </row>
    <row r="20" spans="2:14" x14ac:dyDescent="0.25">
      <c r="F20" t="s">
        <v>20</v>
      </c>
      <c r="G20">
        <v>220</v>
      </c>
      <c r="J20" t="s">
        <v>126</v>
      </c>
      <c r="K20">
        <v>420</v>
      </c>
    </row>
    <row r="21" spans="2:14" x14ac:dyDescent="0.25">
      <c r="E21">
        <f>90+284</f>
        <v>374</v>
      </c>
      <c r="F21" t="s">
        <v>127</v>
      </c>
      <c r="G21">
        <v>120</v>
      </c>
    </row>
    <row r="22" spans="2:14" x14ac:dyDescent="0.25">
      <c r="E22">
        <v>180</v>
      </c>
    </row>
    <row r="23" spans="2:14" x14ac:dyDescent="0.25">
      <c r="C23" t="s">
        <v>133</v>
      </c>
      <c r="E23">
        <v>180</v>
      </c>
      <c r="F23" t="s">
        <v>128</v>
      </c>
      <c r="G23">
        <v>130</v>
      </c>
    </row>
    <row r="24" spans="2:14" x14ac:dyDescent="0.25">
      <c r="E24">
        <v>180</v>
      </c>
      <c r="F24" t="s">
        <v>136</v>
      </c>
      <c r="G24">
        <v>100</v>
      </c>
    </row>
    <row r="26" spans="2:14" x14ac:dyDescent="0.25">
      <c r="F26" t="s">
        <v>134</v>
      </c>
      <c r="G26">
        <v>500</v>
      </c>
      <c r="H26" t="s">
        <v>137</v>
      </c>
      <c r="I26">
        <v>999</v>
      </c>
    </row>
    <row r="27" spans="2:14" x14ac:dyDescent="0.25">
      <c r="E27">
        <v>180</v>
      </c>
      <c r="F27" t="s">
        <v>20</v>
      </c>
      <c r="G27">
        <v>230</v>
      </c>
    </row>
    <row r="28" spans="2:14" x14ac:dyDescent="0.25">
      <c r="C28" t="s">
        <v>139</v>
      </c>
      <c r="E28">
        <v>180</v>
      </c>
      <c r="F28" t="s">
        <v>140</v>
      </c>
      <c r="G28">
        <v>40</v>
      </c>
      <c r="J28" t="s">
        <v>135</v>
      </c>
      <c r="K28">
        <v>460</v>
      </c>
    </row>
    <row r="29" spans="2:14" x14ac:dyDescent="0.25">
      <c r="E29">
        <v>180</v>
      </c>
      <c r="F29" t="s">
        <v>141</v>
      </c>
      <c r="G29">
        <v>70</v>
      </c>
    </row>
    <row r="31" spans="2:14" x14ac:dyDescent="0.25">
      <c r="B31">
        <f>SUM(B2:B30)</f>
        <v>21000</v>
      </c>
      <c r="D31">
        <f>SUM(D2:D30)</f>
        <v>36500</v>
      </c>
      <c r="E31">
        <f>SUM(E2:E30)</f>
        <v>4426</v>
      </c>
      <c r="G31">
        <f>SUM(G2:G30)-3400</f>
        <v>239</v>
      </c>
      <c r="I31">
        <f>SUM(I2:I30)</f>
        <v>2844</v>
      </c>
      <c r="K31">
        <f>SUM(K2:K30)</f>
        <v>4210</v>
      </c>
      <c r="M31">
        <f>SUM(M2:M30)</f>
        <v>1719</v>
      </c>
      <c r="N31" s="3">
        <f>SUM(B31:M31)</f>
        <v>70938</v>
      </c>
    </row>
    <row r="32" spans="2:14" x14ac:dyDescent="0.25">
      <c r="G32" t="s">
        <v>131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workbookViewId="0">
      <pane ySplit="1" topLeftCell="A2" activePane="bottomLeft" state="frozen"/>
      <selection activeCell="F1" sqref="F1"/>
      <selection pane="bottomLeft" activeCell="A11" sqref="A11"/>
    </sheetView>
  </sheetViews>
  <sheetFormatPr defaultRowHeight="15" x14ac:dyDescent="0.25"/>
  <cols>
    <col min="1" max="1" width="19.42578125" customWidth="1"/>
    <col min="3" max="3" width="25.28515625" customWidth="1"/>
    <col min="5" max="5" width="22.28515625" customWidth="1"/>
    <col min="6" max="6" width="32.7109375" customWidth="1"/>
    <col min="7" max="7" width="14" customWidth="1"/>
    <col min="8" max="8" width="26.140625" customWidth="1"/>
    <col min="12" max="12" width="20.5703125" customWidth="1"/>
  </cols>
  <sheetData>
    <row r="1" spans="1:16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6" x14ac:dyDescent="0.25">
      <c r="A2" t="s">
        <v>44</v>
      </c>
      <c r="B2">
        <v>18000</v>
      </c>
      <c r="C2" t="s">
        <v>11</v>
      </c>
      <c r="D2">
        <v>36500</v>
      </c>
      <c r="E2">
        <v>180</v>
      </c>
      <c r="F2" t="s">
        <v>43</v>
      </c>
      <c r="G2">
        <v>300</v>
      </c>
    </row>
    <row r="3" spans="1:16" ht="30" x14ac:dyDescent="0.25">
      <c r="A3" t="s">
        <v>7</v>
      </c>
      <c r="B3">
        <v>2000</v>
      </c>
      <c r="C3" s="2" t="s">
        <v>84</v>
      </c>
      <c r="E3">
        <v>180</v>
      </c>
      <c r="F3" t="s">
        <v>13</v>
      </c>
      <c r="G3">
        <v>186</v>
      </c>
    </row>
    <row r="4" spans="1:16" x14ac:dyDescent="0.25">
      <c r="A4" t="s">
        <v>8</v>
      </c>
      <c r="B4">
        <v>4000</v>
      </c>
      <c r="E4">
        <v>180</v>
      </c>
      <c r="F4" t="s">
        <v>111</v>
      </c>
      <c r="G4">
        <v>500</v>
      </c>
      <c r="L4" t="s">
        <v>148</v>
      </c>
      <c r="M4">
        <v>40</v>
      </c>
      <c r="O4" t="s">
        <v>89</v>
      </c>
      <c r="P4" t="s">
        <v>132</v>
      </c>
    </row>
    <row r="5" spans="1:16" x14ac:dyDescent="0.25">
      <c r="A5" t="s">
        <v>144</v>
      </c>
      <c r="B5">
        <v>50000</v>
      </c>
      <c r="E5">
        <v>180</v>
      </c>
      <c r="F5" t="s">
        <v>146</v>
      </c>
      <c r="G5">
        <v>237</v>
      </c>
      <c r="M5">
        <v>19</v>
      </c>
      <c r="O5" t="s">
        <v>83</v>
      </c>
    </row>
    <row r="6" spans="1:16" x14ac:dyDescent="0.25">
      <c r="A6" t="s">
        <v>145</v>
      </c>
      <c r="B6">
        <v>227225</v>
      </c>
      <c r="E6">
        <v>380</v>
      </c>
      <c r="F6" t="s">
        <v>147</v>
      </c>
      <c r="G6">
        <v>20</v>
      </c>
      <c r="H6" t="s">
        <v>142</v>
      </c>
      <c r="I6">
        <v>750</v>
      </c>
      <c r="L6" t="s">
        <v>15</v>
      </c>
      <c r="M6">
        <v>181</v>
      </c>
    </row>
    <row r="7" spans="1:16" x14ac:dyDescent="0.25">
      <c r="L7" t="s">
        <v>16</v>
      </c>
      <c r="M7">
        <v>181</v>
      </c>
      <c r="O7" t="s">
        <v>138</v>
      </c>
    </row>
    <row r="8" spans="1:16" x14ac:dyDescent="0.25">
      <c r="E8">
        <v>180</v>
      </c>
      <c r="M8">
        <v>29</v>
      </c>
      <c r="O8" t="s">
        <v>73</v>
      </c>
    </row>
    <row r="9" spans="1:16" x14ac:dyDescent="0.25">
      <c r="E9">
        <v>180</v>
      </c>
      <c r="F9" t="s">
        <v>149</v>
      </c>
      <c r="G9">
        <v>170</v>
      </c>
      <c r="H9" t="s">
        <v>150</v>
      </c>
      <c r="I9">
        <v>3800</v>
      </c>
      <c r="L9" t="s">
        <v>17</v>
      </c>
      <c r="M9">
        <v>1007</v>
      </c>
    </row>
    <row r="10" spans="1:16" x14ac:dyDescent="0.25">
      <c r="A10" t="s">
        <v>151</v>
      </c>
      <c r="E10">
        <v>457</v>
      </c>
      <c r="F10" t="s">
        <v>152</v>
      </c>
      <c r="G10">
        <v>80</v>
      </c>
      <c r="H10" t="s">
        <v>156</v>
      </c>
      <c r="I10">
        <v>2000</v>
      </c>
    </row>
    <row r="11" spans="1:16" x14ac:dyDescent="0.25">
      <c r="A11" t="s">
        <v>129</v>
      </c>
      <c r="E11">
        <v>180</v>
      </c>
    </row>
    <row r="12" spans="1:16" x14ac:dyDescent="0.25">
      <c r="A12" t="s">
        <v>130</v>
      </c>
      <c r="E12">
        <v>180</v>
      </c>
      <c r="F12" t="s">
        <v>153</v>
      </c>
      <c r="G12">
        <f>877-463</f>
        <v>414</v>
      </c>
      <c r="L12" t="s">
        <v>154</v>
      </c>
      <c r="M12">
        <f>250+213</f>
        <v>463</v>
      </c>
    </row>
    <row r="13" spans="1:16" x14ac:dyDescent="0.25">
      <c r="A13" t="s">
        <v>143</v>
      </c>
    </row>
    <row r="14" spans="1:16" x14ac:dyDescent="0.25">
      <c r="E14">
        <v>180</v>
      </c>
      <c r="F14" t="s">
        <v>157</v>
      </c>
      <c r="G14">
        <v>190</v>
      </c>
    </row>
    <row r="16" spans="1:16" x14ac:dyDescent="0.25">
      <c r="A16" t="s">
        <v>160</v>
      </c>
      <c r="E16">
        <v>400</v>
      </c>
      <c r="F16" t="s">
        <v>158</v>
      </c>
    </row>
    <row r="17" spans="1:15" x14ac:dyDescent="0.25">
      <c r="E17">
        <v>280</v>
      </c>
      <c r="F17" t="s">
        <v>159</v>
      </c>
      <c r="G17">
        <v>640</v>
      </c>
      <c r="H17" t="s">
        <v>155</v>
      </c>
      <c r="I17">
        <v>2674</v>
      </c>
    </row>
    <row r="22" spans="1:15" x14ac:dyDescent="0.25">
      <c r="E22">
        <v>180</v>
      </c>
      <c r="F22" t="s">
        <v>79</v>
      </c>
      <c r="G22">
        <v>100</v>
      </c>
    </row>
    <row r="23" spans="1:15" x14ac:dyDescent="0.25">
      <c r="E23">
        <v>180</v>
      </c>
    </row>
    <row r="25" spans="1:15" x14ac:dyDescent="0.25">
      <c r="F25" t="s">
        <v>175</v>
      </c>
      <c r="G25">
        <v>20</v>
      </c>
    </row>
    <row r="26" spans="1:15" x14ac:dyDescent="0.25">
      <c r="F26" t="s">
        <v>161</v>
      </c>
      <c r="G26">
        <v>500</v>
      </c>
      <c r="H26" t="s">
        <v>163</v>
      </c>
      <c r="I26">
        <f>1207+190</f>
        <v>1397</v>
      </c>
    </row>
    <row r="27" spans="1:15" x14ac:dyDescent="0.25">
      <c r="A27" t="s">
        <v>167</v>
      </c>
      <c r="E27">
        <f>250+80</f>
        <v>330</v>
      </c>
      <c r="F27" t="s">
        <v>162</v>
      </c>
      <c r="G27">
        <v>183</v>
      </c>
      <c r="H27" t="s">
        <v>164</v>
      </c>
    </row>
    <row r="28" spans="1:15" x14ac:dyDescent="0.25">
      <c r="F28" t="s">
        <v>166</v>
      </c>
      <c r="G28">
        <v>5</v>
      </c>
    </row>
    <row r="29" spans="1:15" x14ac:dyDescent="0.25">
      <c r="E29">
        <v>180</v>
      </c>
      <c r="F29" t="s">
        <v>165</v>
      </c>
      <c r="G29">
        <v>28</v>
      </c>
    </row>
    <row r="30" spans="1:15" x14ac:dyDescent="0.25">
      <c r="E30">
        <v>180</v>
      </c>
      <c r="F30" t="s">
        <v>168</v>
      </c>
      <c r="G30">
        <f>115+90</f>
        <v>205</v>
      </c>
      <c r="O30" t="s">
        <v>177</v>
      </c>
    </row>
    <row r="31" spans="1:15" x14ac:dyDescent="0.25">
      <c r="F31" t="s">
        <v>176</v>
      </c>
      <c r="G31">
        <v>165</v>
      </c>
    </row>
    <row r="32" spans="1:15" x14ac:dyDescent="0.25">
      <c r="B32">
        <f>SUM(B2:B31)</f>
        <v>301225</v>
      </c>
      <c r="D32">
        <f t="shared" ref="D32:M32" si="0">SUM(D2:D31)</f>
        <v>36500</v>
      </c>
      <c r="E32">
        <f t="shared" si="0"/>
        <v>4187</v>
      </c>
      <c r="G32">
        <f>SUM(G2:G31)-3400</f>
        <v>543</v>
      </c>
      <c r="I32">
        <f t="shared" si="0"/>
        <v>10621</v>
      </c>
      <c r="K32">
        <f t="shared" si="0"/>
        <v>0</v>
      </c>
      <c r="M32">
        <f t="shared" si="0"/>
        <v>1920</v>
      </c>
      <c r="N32">
        <f>SUM(B32:M32)</f>
        <v>354996</v>
      </c>
      <c r="O32" s="1">
        <f>SUM(B32:M32)-227250-50000</f>
        <v>77746</v>
      </c>
    </row>
    <row r="33" spans="7:7" x14ac:dyDescent="0.25">
      <c r="G33" t="s">
        <v>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zoomScaleNormal="100" workbookViewId="0">
      <pane ySplit="1" topLeftCell="A2" activePane="bottomLeft" state="frozen"/>
      <selection activeCell="C1" sqref="C1"/>
      <selection pane="bottomLeft" activeCell="O32" sqref="O32"/>
    </sheetView>
  </sheetViews>
  <sheetFormatPr defaultRowHeight="15" x14ac:dyDescent="0.25"/>
  <cols>
    <col min="1" max="1" width="15.42578125" customWidth="1"/>
    <col min="3" max="3" width="20" customWidth="1"/>
    <col min="5" max="5" width="21" customWidth="1"/>
    <col min="6" max="6" width="39.42578125" customWidth="1"/>
    <col min="8" max="8" width="29.85546875" customWidth="1"/>
    <col min="12" max="12" width="21.5703125" customWidth="1"/>
  </cols>
  <sheetData>
    <row r="1" spans="1:15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5" x14ac:dyDescent="0.25">
      <c r="A2" t="s">
        <v>44</v>
      </c>
      <c r="B2">
        <v>18000</v>
      </c>
      <c r="C2" t="s">
        <v>11</v>
      </c>
      <c r="D2">
        <v>36500</v>
      </c>
      <c r="E2">
        <v>180</v>
      </c>
      <c r="F2" t="s">
        <v>43</v>
      </c>
      <c r="G2">
        <v>300</v>
      </c>
    </row>
    <row r="3" spans="1:15" x14ac:dyDescent="0.25">
      <c r="A3" t="s">
        <v>7</v>
      </c>
      <c r="B3">
        <v>2000</v>
      </c>
      <c r="C3" s="2" t="s">
        <v>173</v>
      </c>
      <c r="D3">
        <v>3600</v>
      </c>
      <c r="F3" t="s">
        <v>13</v>
      </c>
      <c r="G3">
        <v>186</v>
      </c>
      <c r="N3" t="s">
        <v>198</v>
      </c>
      <c r="O3" t="s">
        <v>185</v>
      </c>
    </row>
    <row r="4" spans="1:15" x14ac:dyDescent="0.25">
      <c r="A4" t="s">
        <v>8</v>
      </c>
      <c r="B4">
        <v>4000</v>
      </c>
      <c r="C4" t="s">
        <v>174</v>
      </c>
      <c r="E4">
        <v>180</v>
      </c>
      <c r="F4" t="s">
        <v>179</v>
      </c>
      <c r="G4">
        <v>150</v>
      </c>
      <c r="J4" t="s">
        <v>178</v>
      </c>
      <c r="K4">
        <v>700</v>
      </c>
    </row>
    <row r="5" spans="1:15" x14ac:dyDescent="0.25">
      <c r="E5">
        <v>180</v>
      </c>
      <c r="F5" t="s">
        <v>197</v>
      </c>
      <c r="G5">
        <v>200</v>
      </c>
      <c r="M5">
        <v>19</v>
      </c>
    </row>
    <row r="6" spans="1:15" x14ac:dyDescent="0.25">
      <c r="E6">
        <v>120</v>
      </c>
      <c r="F6" t="s">
        <v>20</v>
      </c>
      <c r="G6">
        <v>250</v>
      </c>
      <c r="H6" t="s">
        <v>196</v>
      </c>
      <c r="I6">
        <v>90</v>
      </c>
      <c r="L6" t="s">
        <v>15</v>
      </c>
      <c r="M6">
        <v>181</v>
      </c>
    </row>
    <row r="7" spans="1:15" ht="45" x14ac:dyDescent="0.25">
      <c r="A7" s="2" t="s">
        <v>169</v>
      </c>
      <c r="C7" t="s">
        <v>183</v>
      </c>
      <c r="F7" t="s">
        <v>180</v>
      </c>
      <c r="G7">
        <v>70</v>
      </c>
      <c r="L7" t="s">
        <v>16</v>
      </c>
      <c r="M7">
        <v>181</v>
      </c>
      <c r="N7" t="s">
        <v>73</v>
      </c>
    </row>
    <row r="8" spans="1:15" x14ac:dyDescent="0.25">
      <c r="E8">
        <v>180</v>
      </c>
      <c r="N8" t="s">
        <v>182</v>
      </c>
    </row>
    <row r="9" spans="1:15" x14ac:dyDescent="0.25">
      <c r="E9">
        <v>180</v>
      </c>
      <c r="L9" t="s">
        <v>17</v>
      </c>
      <c r="M9">
        <v>970</v>
      </c>
    </row>
    <row r="10" spans="1:15" x14ac:dyDescent="0.25">
      <c r="C10" t="s">
        <v>199</v>
      </c>
      <c r="E10">
        <v>180</v>
      </c>
      <c r="F10" t="s">
        <v>184</v>
      </c>
      <c r="G10">
        <f>75+28</f>
        <v>103</v>
      </c>
    </row>
    <row r="11" spans="1:15" x14ac:dyDescent="0.25">
      <c r="A11" t="s">
        <v>170</v>
      </c>
      <c r="F11" t="s">
        <v>91</v>
      </c>
      <c r="G11">
        <v>100</v>
      </c>
      <c r="L11" t="s">
        <v>181</v>
      </c>
      <c r="M11">
        <v>1278</v>
      </c>
    </row>
    <row r="12" spans="1:15" x14ac:dyDescent="0.25">
      <c r="A12" t="s">
        <v>171</v>
      </c>
    </row>
    <row r="13" spans="1:15" x14ac:dyDescent="0.25">
      <c r="A13" t="s">
        <v>143</v>
      </c>
      <c r="F13" t="s">
        <v>186</v>
      </c>
    </row>
    <row r="14" spans="1:15" x14ac:dyDescent="0.25">
      <c r="F14" t="s">
        <v>187</v>
      </c>
      <c r="G14">
        <v>876</v>
      </c>
    </row>
    <row r="15" spans="1:15" x14ac:dyDescent="0.25">
      <c r="E15">
        <v>180</v>
      </c>
    </row>
    <row r="16" spans="1:15" x14ac:dyDescent="0.25">
      <c r="E16">
        <v>180</v>
      </c>
      <c r="H16" t="s">
        <v>188</v>
      </c>
      <c r="I16">
        <v>1090</v>
      </c>
    </row>
    <row r="17" spans="2:15" x14ac:dyDescent="0.25">
      <c r="E17">
        <v>180</v>
      </c>
      <c r="F17" t="s">
        <v>190</v>
      </c>
      <c r="G17">
        <v>160</v>
      </c>
      <c r="H17" t="s">
        <v>189</v>
      </c>
      <c r="I17">
        <v>1300</v>
      </c>
    </row>
    <row r="19" spans="2:15" x14ac:dyDescent="0.25">
      <c r="F19" t="s">
        <v>20</v>
      </c>
      <c r="G19">
        <f>15+50+85+135</f>
        <v>285</v>
      </c>
    </row>
    <row r="21" spans="2:15" x14ac:dyDescent="0.25">
      <c r="H21" t="s">
        <v>191</v>
      </c>
      <c r="I21">
        <v>300</v>
      </c>
    </row>
    <row r="22" spans="2:15" x14ac:dyDescent="0.25">
      <c r="E22">
        <v>190</v>
      </c>
    </row>
    <row r="23" spans="2:15" x14ac:dyDescent="0.25">
      <c r="E23">
        <v>180</v>
      </c>
    </row>
    <row r="24" spans="2:15" x14ac:dyDescent="0.25">
      <c r="C24" t="s">
        <v>192</v>
      </c>
      <c r="D24">
        <v>33580</v>
      </c>
      <c r="E24">
        <v>180</v>
      </c>
    </row>
    <row r="25" spans="2:15" x14ac:dyDescent="0.25">
      <c r="E25">
        <v>180</v>
      </c>
      <c r="F25" t="s">
        <v>195</v>
      </c>
      <c r="G25">
        <f>30+120+20+60+50+60+100</f>
        <v>440</v>
      </c>
    </row>
    <row r="26" spans="2:15" x14ac:dyDescent="0.25">
      <c r="F26" t="s">
        <v>194</v>
      </c>
    </row>
    <row r="28" spans="2:15" x14ac:dyDescent="0.25">
      <c r="F28" t="s">
        <v>193</v>
      </c>
      <c r="G28">
        <v>320</v>
      </c>
    </row>
    <row r="29" spans="2:15" x14ac:dyDescent="0.25">
      <c r="C29" t="s">
        <v>200</v>
      </c>
      <c r="E29">
        <v>180</v>
      </c>
      <c r="F29" t="s">
        <v>201</v>
      </c>
      <c r="G29">
        <v>20</v>
      </c>
    </row>
    <row r="30" spans="2:15" x14ac:dyDescent="0.25">
      <c r="E30">
        <v>180</v>
      </c>
      <c r="F30" t="s">
        <v>20</v>
      </c>
      <c r="G30">
        <v>165</v>
      </c>
    </row>
    <row r="31" spans="2:15" x14ac:dyDescent="0.25">
      <c r="F31" t="s">
        <v>205</v>
      </c>
      <c r="G31">
        <v>120</v>
      </c>
    </row>
    <row r="32" spans="2:15" x14ac:dyDescent="0.25">
      <c r="B32">
        <f>SUM(B2:B31)</f>
        <v>24000</v>
      </c>
      <c r="D32">
        <f t="shared" ref="D32:M32" si="0">SUM(D2:D31)</f>
        <v>73680</v>
      </c>
      <c r="E32">
        <f t="shared" si="0"/>
        <v>2830</v>
      </c>
      <c r="G32">
        <f>SUM(G2:G31)-3500</f>
        <v>245</v>
      </c>
      <c r="I32">
        <f t="shared" si="0"/>
        <v>2780</v>
      </c>
      <c r="K32">
        <f t="shared" si="0"/>
        <v>700</v>
      </c>
      <c r="M32">
        <f t="shared" si="0"/>
        <v>2629</v>
      </c>
      <c r="N32" s="3">
        <f>SUM(B32:M32)</f>
        <v>106864</v>
      </c>
      <c r="O32" s="1">
        <f>N32-33580</f>
        <v>73284</v>
      </c>
    </row>
    <row r="33" spans="6:6" x14ac:dyDescent="0.25">
      <c r="F33" t="s">
        <v>203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workbookViewId="0">
      <pane ySplit="1" topLeftCell="A17" activePane="bottomLeft" state="frozen"/>
      <selection pane="bottomLeft" activeCell="B14" sqref="B14"/>
    </sheetView>
  </sheetViews>
  <sheetFormatPr defaultRowHeight="15" x14ac:dyDescent="0.25"/>
  <cols>
    <col min="1" max="1" width="15" customWidth="1"/>
    <col min="3" max="3" width="14.7109375" customWidth="1"/>
    <col min="5" max="5" width="29.42578125" customWidth="1"/>
    <col min="6" max="6" width="27.7109375" customWidth="1"/>
    <col min="8" max="8" width="22.28515625" customWidth="1"/>
    <col min="10" max="10" width="19.85546875" customWidth="1"/>
    <col min="12" max="12" width="18.7109375" customWidth="1"/>
  </cols>
  <sheetData>
    <row r="1" spans="1:16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6" x14ac:dyDescent="0.25">
      <c r="A2" t="s">
        <v>44</v>
      </c>
      <c r="B2">
        <v>18000</v>
      </c>
      <c r="C2" t="s">
        <v>11</v>
      </c>
      <c r="D2">
        <v>36500</v>
      </c>
      <c r="E2">
        <v>180</v>
      </c>
      <c r="F2" t="s">
        <v>43</v>
      </c>
      <c r="G2">
        <v>300</v>
      </c>
    </row>
    <row r="3" spans="1:16" ht="30" x14ac:dyDescent="0.25">
      <c r="A3" t="s">
        <v>7</v>
      </c>
      <c r="B3">
        <v>2000</v>
      </c>
      <c r="C3" s="2" t="s">
        <v>173</v>
      </c>
      <c r="D3">
        <v>3600</v>
      </c>
      <c r="E3">
        <v>180</v>
      </c>
      <c r="F3" t="s">
        <v>13</v>
      </c>
      <c r="G3">
        <v>186</v>
      </c>
    </row>
    <row r="4" spans="1:16" x14ac:dyDescent="0.25">
      <c r="A4" t="s">
        <v>8</v>
      </c>
      <c r="B4">
        <v>4000</v>
      </c>
      <c r="C4" t="s">
        <v>174</v>
      </c>
      <c r="E4">
        <v>180</v>
      </c>
      <c r="F4" t="s">
        <v>20</v>
      </c>
      <c r="G4">
        <v>270</v>
      </c>
    </row>
    <row r="5" spans="1:16" x14ac:dyDescent="0.25">
      <c r="E5">
        <v>300</v>
      </c>
      <c r="F5" t="s">
        <v>204</v>
      </c>
      <c r="G5">
        <v>100</v>
      </c>
      <c r="L5" t="s">
        <v>15</v>
      </c>
      <c r="M5">
        <v>210</v>
      </c>
      <c r="O5" t="s">
        <v>198</v>
      </c>
      <c r="P5" t="s">
        <v>185</v>
      </c>
    </row>
    <row r="6" spans="1:16" x14ac:dyDescent="0.25">
      <c r="A6" t="s">
        <v>172</v>
      </c>
      <c r="B6">
        <v>4000</v>
      </c>
      <c r="L6" t="s">
        <v>16</v>
      </c>
      <c r="M6">
        <v>191</v>
      </c>
    </row>
    <row r="7" spans="1:16" ht="45" x14ac:dyDescent="0.25">
      <c r="A7" s="2" t="s">
        <v>169</v>
      </c>
      <c r="F7" t="s">
        <v>206</v>
      </c>
      <c r="G7">
        <v>780</v>
      </c>
      <c r="L7" t="s">
        <v>208</v>
      </c>
      <c r="M7">
        <v>29</v>
      </c>
    </row>
    <row r="8" spans="1:16" x14ac:dyDescent="0.25">
      <c r="E8">
        <v>180</v>
      </c>
      <c r="F8" t="s">
        <v>207</v>
      </c>
      <c r="G8">
        <f>90+63</f>
        <v>153</v>
      </c>
      <c r="L8" t="s">
        <v>17</v>
      </c>
      <c r="M8">
        <v>1007</v>
      </c>
    </row>
    <row r="9" spans="1:16" x14ac:dyDescent="0.25">
      <c r="E9">
        <v>180</v>
      </c>
      <c r="J9" t="s">
        <v>209</v>
      </c>
      <c r="K9">
        <v>1500</v>
      </c>
      <c r="O9" t="s">
        <v>73</v>
      </c>
    </row>
    <row r="10" spans="1:16" x14ac:dyDescent="0.25">
      <c r="E10">
        <v>180</v>
      </c>
      <c r="F10" t="s">
        <v>20</v>
      </c>
      <c r="G10">
        <v>255</v>
      </c>
      <c r="O10" t="s">
        <v>182</v>
      </c>
    </row>
    <row r="11" spans="1:16" x14ac:dyDescent="0.25">
      <c r="A11" t="s">
        <v>254</v>
      </c>
      <c r="E11">
        <v>220</v>
      </c>
      <c r="F11" t="s">
        <v>211</v>
      </c>
      <c r="G11">
        <v>25</v>
      </c>
    </row>
    <row r="12" spans="1:16" x14ac:dyDescent="0.25">
      <c r="A12" t="s">
        <v>202</v>
      </c>
      <c r="F12" t="s">
        <v>210</v>
      </c>
      <c r="G12">
        <v>75</v>
      </c>
      <c r="J12" t="s">
        <v>214</v>
      </c>
      <c r="K12">
        <v>100</v>
      </c>
    </row>
    <row r="13" spans="1:16" x14ac:dyDescent="0.25">
      <c r="A13" t="s">
        <v>143</v>
      </c>
      <c r="F13" t="s">
        <v>212</v>
      </c>
      <c r="G13">
        <v>130</v>
      </c>
      <c r="O13" t="s">
        <v>237</v>
      </c>
    </row>
    <row r="14" spans="1:16" x14ac:dyDescent="0.25">
      <c r="F14" t="s">
        <v>213</v>
      </c>
      <c r="G14">
        <v>300</v>
      </c>
    </row>
    <row r="15" spans="1:16" x14ac:dyDescent="0.25">
      <c r="E15">
        <v>180</v>
      </c>
    </row>
    <row r="16" spans="1:16" x14ac:dyDescent="0.25">
      <c r="E16">
        <v>180</v>
      </c>
    </row>
    <row r="17" spans="1:14" x14ac:dyDescent="0.25">
      <c r="E17">
        <v>180</v>
      </c>
    </row>
    <row r="18" spans="1:14" x14ac:dyDescent="0.25">
      <c r="F18" t="s">
        <v>216</v>
      </c>
      <c r="G18">
        <v>40</v>
      </c>
    </row>
    <row r="19" spans="1:14" x14ac:dyDescent="0.25">
      <c r="J19" t="s">
        <v>215</v>
      </c>
      <c r="K19">
        <v>500</v>
      </c>
    </row>
    <row r="20" spans="1:14" x14ac:dyDescent="0.25">
      <c r="A20" t="s">
        <v>217</v>
      </c>
      <c r="E20">
        <f>219+355</f>
        <v>574</v>
      </c>
    </row>
    <row r="21" spans="1:14" x14ac:dyDescent="0.25">
      <c r="F21" t="s">
        <v>218</v>
      </c>
      <c r="G21">
        <v>230</v>
      </c>
    </row>
    <row r="22" spans="1:14" x14ac:dyDescent="0.25">
      <c r="E22">
        <v>180</v>
      </c>
    </row>
    <row r="23" spans="1:14" x14ac:dyDescent="0.25">
      <c r="E23">
        <v>180</v>
      </c>
      <c r="F23" t="s">
        <v>20</v>
      </c>
      <c r="G23">
        <v>260</v>
      </c>
      <c r="H23" t="s">
        <v>219</v>
      </c>
      <c r="I23">
        <v>522</v>
      </c>
    </row>
    <row r="24" spans="1:14" x14ac:dyDescent="0.25">
      <c r="E24">
        <v>180</v>
      </c>
      <c r="H24" t="s">
        <v>220</v>
      </c>
    </row>
    <row r="25" spans="1:14" x14ac:dyDescent="0.25">
      <c r="E25">
        <v>294</v>
      </c>
    </row>
    <row r="26" spans="1:14" x14ac:dyDescent="0.25">
      <c r="C26" t="s">
        <v>225</v>
      </c>
      <c r="F26" t="s">
        <v>221</v>
      </c>
      <c r="G26">
        <v>220</v>
      </c>
    </row>
    <row r="27" spans="1:14" x14ac:dyDescent="0.25">
      <c r="E27">
        <v>230</v>
      </c>
      <c r="H27" t="s">
        <v>224</v>
      </c>
      <c r="I27">
        <v>840</v>
      </c>
    </row>
    <row r="28" spans="1:14" x14ac:dyDescent="0.25">
      <c r="E28">
        <v>180</v>
      </c>
      <c r="F28" t="s">
        <v>222</v>
      </c>
      <c r="G28">
        <v>482</v>
      </c>
    </row>
    <row r="29" spans="1:14" x14ac:dyDescent="0.25">
      <c r="E29">
        <v>180</v>
      </c>
      <c r="F29" t="s">
        <v>20</v>
      </c>
      <c r="G29">
        <v>235</v>
      </c>
    </row>
    <row r="30" spans="1:14" x14ac:dyDescent="0.25">
      <c r="E30">
        <v>180</v>
      </c>
      <c r="J30" t="s">
        <v>226</v>
      </c>
      <c r="K30">
        <v>295</v>
      </c>
    </row>
    <row r="31" spans="1:14" x14ac:dyDescent="0.25">
      <c r="E31">
        <v>260</v>
      </c>
      <c r="F31" t="s">
        <v>223</v>
      </c>
      <c r="G31">
        <v>40</v>
      </c>
    </row>
    <row r="32" spans="1:14" x14ac:dyDescent="0.25">
      <c r="B32">
        <f>SUM(B2:B31)</f>
        <v>28000</v>
      </c>
      <c r="D32">
        <f t="shared" ref="D32:M32" si="0">SUM(D2:D31)</f>
        <v>40100</v>
      </c>
      <c r="E32">
        <f t="shared" si="0"/>
        <v>4578</v>
      </c>
      <c r="G32">
        <f>SUM(G2:G31)-3500</f>
        <v>581</v>
      </c>
      <c r="I32">
        <f t="shared" si="0"/>
        <v>1362</v>
      </c>
      <c r="K32">
        <f t="shared" si="0"/>
        <v>2395</v>
      </c>
      <c r="M32">
        <f t="shared" si="0"/>
        <v>1437</v>
      </c>
      <c r="N32" s="1">
        <f>SUM(B32:M32)</f>
        <v>78453</v>
      </c>
    </row>
    <row r="33" spans="6:6" x14ac:dyDescent="0.25">
      <c r="F33" t="s">
        <v>203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pane ySplit="1" topLeftCell="A2" activePane="bottomLeft" state="frozen"/>
      <selection activeCell="C1" sqref="C1"/>
      <selection pane="bottomLeft" activeCell="A11" sqref="A11"/>
    </sheetView>
  </sheetViews>
  <sheetFormatPr defaultRowHeight="15" x14ac:dyDescent="0.25"/>
  <cols>
    <col min="1" max="1" width="16" customWidth="1"/>
    <col min="3" max="3" width="16.42578125" customWidth="1"/>
    <col min="5" max="5" width="19.42578125" customWidth="1"/>
    <col min="6" max="6" width="32" customWidth="1"/>
    <col min="7" max="7" width="11.5703125" customWidth="1"/>
    <col min="8" max="8" width="16.42578125" customWidth="1"/>
    <col min="10" max="10" width="12" bestFit="1" customWidth="1"/>
    <col min="12" max="12" width="16.5703125" customWidth="1"/>
  </cols>
  <sheetData>
    <row r="1" spans="1:15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5" x14ac:dyDescent="0.25">
      <c r="A2" t="s">
        <v>44</v>
      </c>
      <c r="B2">
        <v>18000</v>
      </c>
      <c r="C2" t="s">
        <v>11</v>
      </c>
      <c r="D2">
        <v>36500</v>
      </c>
      <c r="F2" t="s">
        <v>43</v>
      </c>
      <c r="G2">
        <v>300</v>
      </c>
    </row>
    <row r="3" spans="1:15" ht="30" x14ac:dyDescent="0.25">
      <c r="A3" t="s">
        <v>7</v>
      </c>
      <c r="B3">
        <v>2000</v>
      </c>
      <c r="C3" s="2" t="s">
        <v>173</v>
      </c>
      <c r="D3">
        <v>3700</v>
      </c>
      <c r="E3">
        <v>180</v>
      </c>
      <c r="F3" t="s">
        <v>13</v>
      </c>
      <c r="G3">
        <v>186</v>
      </c>
      <c r="J3" t="s">
        <v>135</v>
      </c>
      <c r="K3">
        <v>320</v>
      </c>
      <c r="N3" t="s">
        <v>242</v>
      </c>
      <c r="O3" t="s">
        <v>185</v>
      </c>
    </row>
    <row r="4" spans="1:15" x14ac:dyDescent="0.25">
      <c r="A4" t="s">
        <v>8</v>
      </c>
      <c r="B4">
        <v>4000</v>
      </c>
      <c r="C4" t="s">
        <v>174</v>
      </c>
      <c r="E4">
        <v>180</v>
      </c>
      <c r="F4" t="s">
        <v>227</v>
      </c>
      <c r="G4">
        <v>275</v>
      </c>
      <c r="N4" t="s">
        <v>73</v>
      </c>
    </row>
    <row r="5" spans="1:15" x14ac:dyDescent="0.25">
      <c r="E5">
        <v>180</v>
      </c>
      <c r="L5" t="s">
        <v>238</v>
      </c>
      <c r="M5">
        <v>1278</v>
      </c>
    </row>
    <row r="6" spans="1:15" x14ac:dyDescent="0.25">
      <c r="A6" t="s">
        <v>231</v>
      </c>
      <c r="E6">
        <v>280</v>
      </c>
      <c r="F6" t="s">
        <v>229</v>
      </c>
      <c r="G6">
        <v>290</v>
      </c>
      <c r="M6">
        <v>22</v>
      </c>
    </row>
    <row r="7" spans="1:15" x14ac:dyDescent="0.25">
      <c r="F7" t="s">
        <v>233</v>
      </c>
      <c r="G7">
        <v>150</v>
      </c>
      <c r="H7" t="s">
        <v>234</v>
      </c>
      <c r="I7">
        <v>3560</v>
      </c>
      <c r="L7" t="s">
        <v>15</v>
      </c>
      <c r="M7">
        <v>210</v>
      </c>
    </row>
    <row r="8" spans="1:15" x14ac:dyDescent="0.25">
      <c r="E8">
        <v>255</v>
      </c>
      <c r="L8" t="s">
        <v>16</v>
      </c>
      <c r="M8">
        <v>191</v>
      </c>
    </row>
    <row r="9" spans="1:15" x14ac:dyDescent="0.25">
      <c r="E9">
        <v>180</v>
      </c>
      <c r="F9" t="s">
        <v>204</v>
      </c>
      <c r="G9">
        <v>100</v>
      </c>
      <c r="L9" t="s">
        <v>232</v>
      </c>
      <c r="M9">
        <v>29</v>
      </c>
    </row>
    <row r="10" spans="1:15" x14ac:dyDescent="0.25">
      <c r="E10">
        <v>180</v>
      </c>
      <c r="F10" t="s">
        <v>235</v>
      </c>
      <c r="G10">
        <v>498</v>
      </c>
      <c r="L10" t="s">
        <v>17</v>
      </c>
      <c r="M10">
        <v>1007</v>
      </c>
    </row>
    <row r="11" spans="1:15" x14ac:dyDescent="0.25">
      <c r="A11" t="s">
        <v>256</v>
      </c>
      <c r="F11" t="s">
        <v>249</v>
      </c>
      <c r="G11">
        <v>180</v>
      </c>
      <c r="M11">
        <v>22</v>
      </c>
    </row>
    <row r="12" spans="1:15" x14ac:dyDescent="0.25">
      <c r="A12" t="s">
        <v>230</v>
      </c>
      <c r="F12" t="s">
        <v>236</v>
      </c>
      <c r="G12">
        <v>18</v>
      </c>
      <c r="M12">
        <v>48</v>
      </c>
    </row>
    <row r="13" spans="1:15" x14ac:dyDescent="0.25">
      <c r="A13" t="s">
        <v>143</v>
      </c>
      <c r="H13" t="s">
        <v>244</v>
      </c>
      <c r="I13">
        <v>135</v>
      </c>
    </row>
    <row r="14" spans="1:15" x14ac:dyDescent="0.25">
      <c r="C14" t="s">
        <v>241</v>
      </c>
      <c r="E14">
        <f>255+75</f>
        <v>330</v>
      </c>
      <c r="F14" t="s">
        <v>239</v>
      </c>
      <c r="G14">
        <v>250</v>
      </c>
    </row>
    <row r="15" spans="1:15" x14ac:dyDescent="0.25">
      <c r="E15">
        <v>180</v>
      </c>
      <c r="F15" t="s">
        <v>240</v>
      </c>
      <c r="G15">
        <v>65</v>
      </c>
    </row>
    <row r="16" spans="1:15" x14ac:dyDescent="0.25">
      <c r="E16">
        <v>180</v>
      </c>
      <c r="H16" t="s">
        <v>245</v>
      </c>
      <c r="I16">
        <v>60</v>
      </c>
      <c r="L16" t="s">
        <v>228</v>
      </c>
      <c r="M16">
        <v>300</v>
      </c>
    </row>
    <row r="17" spans="2:15" x14ac:dyDescent="0.25">
      <c r="E17">
        <v>180</v>
      </c>
      <c r="H17" t="s">
        <v>246</v>
      </c>
      <c r="I17">
        <v>320</v>
      </c>
    </row>
    <row r="18" spans="2:15" x14ac:dyDescent="0.25">
      <c r="H18" t="s">
        <v>247</v>
      </c>
      <c r="I18">
        <v>70</v>
      </c>
    </row>
    <row r="19" spans="2:15" x14ac:dyDescent="0.25">
      <c r="F19" t="s">
        <v>248</v>
      </c>
      <c r="G19">
        <v>1550</v>
      </c>
    </row>
    <row r="20" spans="2:15" x14ac:dyDescent="0.25">
      <c r="F20" t="s">
        <v>20</v>
      </c>
      <c r="G20">
        <v>70</v>
      </c>
    </row>
    <row r="21" spans="2:15" x14ac:dyDescent="0.25">
      <c r="H21" t="s">
        <v>250</v>
      </c>
      <c r="I21">
        <v>60</v>
      </c>
    </row>
    <row r="22" spans="2:15" x14ac:dyDescent="0.25">
      <c r="E22">
        <v>472</v>
      </c>
      <c r="F22" t="s">
        <v>252</v>
      </c>
      <c r="G22">
        <v>1101</v>
      </c>
      <c r="H22" t="s">
        <v>251</v>
      </c>
      <c r="I22">
        <v>313</v>
      </c>
    </row>
    <row r="23" spans="2:15" x14ac:dyDescent="0.25">
      <c r="E23">
        <v>180</v>
      </c>
    </row>
    <row r="24" spans="2:15" x14ac:dyDescent="0.25">
      <c r="E24">
        <v>180</v>
      </c>
    </row>
    <row r="25" spans="2:15" x14ac:dyDescent="0.25">
      <c r="E25">
        <v>280</v>
      </c>
    </row>
    <row r="29" spans="2:15" x14ac:dyDescent="0.25">
      <c r="C29" t="s">
        <v>259</v>
      </c>
      <c r="D29">
        <v>175000</v>
      </c>
    </row>
    <row r="32" spans="2:15" x14ac:dyDescent="0.25">
      <c r="B32">
        <f>SUM(B2:B31)</f>
        <v>24000</v>
      </c>
      <c r="D32">
        <f t="shared" ref="D32:M32" si="0">SUM(D2:D31)</f>
        <v>215200</v>
      </c>
      <c r="E32">
        <f t="shared" si="0"/>
        <v>3417</v>
      </c>
      <c r="G32">
        <f>SUM(G2:G31)-3500</f>
        <v>1533</v>
      </c>
      <c r="I32">
        <f t="shared" si="0"/>
        <v>4518</v>
      </c>
      <c r="K32">
        <f t="shared" si="0"/>
        <v>320</v>
      </c>
      <c r="M32">
        <f t="shared" si="0"/>
        <v>3107</v>
      </c>
      <c r="N32">
        <f>SUM(B32:M32)</f>
        <v>252095</v>
      </c>
      <c r="O32">
        <f>N32-175000</f>
        <v>77095</v>
      </c>
    </row>
    <row r="33" spans="7:7" x14ac:dyDescent="0.25">
      <c r="G33" t="s">
        <v>243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pane ySplit="1" topLeftCell="A17" activePane="bottomLeft" state="frozen"/>
      <selection pane="bottomLeft" activeCell="G27" sqref="G27"/>
    </sheetView>
  </sheetViews>
  <sheetFormatPr defaultRowHeight="15" x14ac:dyDescent="0.25"/>
  <cols>
    <col min="1" max="1" width="17.140625" customWidth="1"/>
    <col min="3" max="3" width="14.42578125" customWidth="1"/>
    <col min="5" max="5" width="18" customWidth="1"/>
    <col min="6" max="6" width="22.42578125" customWidth="1"/>
    <col min="8" max="8" width="21.5703125" customWidth="1"/>
    <col min="12" max="12" width="23.28515625" customWidth="1"/>
  </cols>
  <sheetData>
    <row r="1" spans="1:16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6" x14ac:dyDescent="0.25">
      <c r="A2" t="s">
        <v>44</v>
      </c>
      <c r="B2">
        <v>18000</v>
      </c>
      <c r="C2" t="s">
        <v>11</v>
      </c>
      <c r="D2">
        <v>36500</v>
      </c>
      <c r="E2">
        <v>280</v>
      </c>
      <c r="F2" t="s">
        <v>43</v>
      </c>
      <c r="G2">
        <v>300</v>
      </c>
    </row>
    <row r="3" spans="1:16" ht="30" x14ac:dyDescent="0.25">
      <c r="A3" t="s">
        <v>7</v>
      </c>
      <c r="B3">
        <v>2000</v>
      </c>
      <c r="C3" s="2" t="s">
        <v>173</v>
      </c>
      <c r="D3">
        <v>3700</v>
      </c>
      <c r="E3">
        <v>180</v>
      </c>
      <c r="F3" t="s">
        <v>13</v>
      </c>
      <c r="G3">
        <v>186</v>
      </c>
      <c r="H3" t="s">
        <v>262</v>
      </c>
      <c r="I3">
        <v>515</v>
      </c>
      <c r="O3" t="s">
        <v>264</v>
      </c>
      <c r="P3" t="s">
        <v>185</v>
      </c>
    </row>
    <row r="4" spans="1:16" x14ac:dyDescent="0.25">
      <c r="A4" t="s">
        <v>8</v>
      </c>
      <c r="B4">
        <v>4000</v>
      </c>
      <c r="C4" t="s">
        <v>174</v>
      </c>
      <c r="E4">
        <v>180</v>
      </c>
      <c r="F4" t="s">
        <v>20</v>
      </c>
      <c r="G4">
        <f>250+85</f>
        <v>335</v>
      </c>
      <c r="H4" t="s">
        <v>263</v>
      </c>
      <c r="I4">
        <v>16632</v>
      </c>
      <c r="O4" t="s">
        <v>73</v>
      </c>
    </row>
    <row r="5" spans="1:16" x14ac:dyDescent="0.25">
      <c r="E5">
        <v>180</v>
      </c>
      <c r="F5" t="s">
        <v>213</v>
      </c>
      <c r="G5">
        <v>220</v>
      </c>
    </row>
    <row r="6" spans="1:16" x14ac:dyDescent="0.25">
      <c r="C6" t="s">
        <v>265</v>
      </c>
      <c r="F6" t="s">
        <v>260</v>
      </c>
      <c r="G6">
        <v>495</v>
      </c>
      <c r="L6" t="s">
        <v>15</v>
      </c>
      <c r="M6">
        <v>210</v>
      </c>
      <c r="O6" t="s">
        <v>72</v>
      </c>
      <c r="P6" t="s">
        <v>279</v>
      </c>
    </row>
    <row r="7" spans="1:16" x14ac:dyDescent="0.25">
      <c r="F7" t="s">
        <v>261</v>
      </c>
      <c r="G7">
        <v>20</v>
      </c>
      <c r="L7" t="s">
        <v>16</v>
      </c>
      <c r="M7">
        <v>191</v>
      </c>
      <c r="O7" t="s">
        <v>288</v>
      </c>
      <c r="P7" t="s">
        <v>289</v>
      </c>
    </row>
    <row r="8" spans="1:16" x14ac:dyDescent="0.25">
      <c r="E8">
        <v>250</v>
      </c>
      <c r="F8" t="s">
        <v>270</v>
      </c>
      <c r="G8">
        <v>730</v>
      </c>
      <c r="L8" t="s">
        <v>232</v>
      </c>
      <c r="M8">
        <v>29</v>
      </c>
    </row>
    <row r="9" spans="1:16" ht="30" x14ac:dyDescent="0.25">
      <c r="E9">
        <v>180</v>
      </c>
      <c r="F9" s="2" t="s">
        <v>271</v>
      </c>
      <c r="G9">
        <v>540</v>
      </c>
      <c r="L9" t="s">
        <v>17</v>
      </c>
      <c r="M9">
        <v>1007</v>
      </c>
    </row>
    <row r="10" spans="1:16" x14ac:dyDescent="0.25">
      <c r="E10">
        <v>180</v>
      </c>
    </row>
    <row r="11" spans="1:16" ht="30" x14ac:dyDescent="0.25">
      <c r="A11" t="s">
        <v>255</v>
      </c>
      <c r="E11">
        <v>344</v>
      </c>
      <c r="F11" s="2" t="s">
        <v>266</v>
      </c>
      <c r="G11">
        <v>2200</v>
      </c>
      <c r="L11" t="s">
        <v>268</v>
      </c>
      <c r="M11">
        <v>1278</v>
      </c>
    </row>
    <row r="12" spans="1:16" x14ac:dyDescent="0.25">
      <c r="A12" t="s">
        <v>253</v>
      </c>
      <c r="F12" t="s">
        <v>267</v>
      </c>
      <c r="G12">
        <v>325</v>
      </c>
    </row>
    <row r="13" spans="1:16" x14ac:dyDescent="0.25">
      <c r="A13" t="s">
        <v>143</v>
      </c>
      <c r="F13" s="2" t="s">
        <v>20</v>
      </c>
      <c r="G13">
        <v>220</v>
      </c>
      <c r="L13" t="s">
        <v>269</v>
      </c>
      <c r="M13">
        <v>50</v>
      </c>
    </row>
    <row r="14" spans="1:16" x14ac:dyDescent="0.25">
      <c r="E14">
        <v>547</v>
      </c>
      <c r="F14" t="s">
        <v>272</v>
      </c>
      <c r="G14">
        <v>499</v>
      </c>
    </row>
    <row r="15" spans="1:16" x14ac:dyDescent="0.25">
      <c r="E15">
        <v>180</v>
      </c>
    </row>
    <row r="16" spans="1:16" x14ac:dyDescent="0.25">
      <c r="E16">
        <v>180</v>
      </c>
    </row>
    <row r="17" spans="1:15" x14ac:dyDescent="0.25">
      <c r="E17">
        <v>180</v>
      </c>
    </row>
    <row r="18" spans="1:15" x14ac:dyDescent="0.25">
      <c r="E18" s="4"/>
    </row>
    <row r="19" spans="1:15" x14ac:dyDescent="0.25">
      <c r="F19" t="s">
        <v>20</v>
      </c>
      <c r="G19">
        <v>120</v>
      </c>
    </row>
    <row r="20" spans="1:15" x14ac:dyDescent="0.25">
      <c r="F20" t="s">
        <v>273</v>
      </c>
      <c r="G20">
        <v>190</v>
      </c>
    </row>
    <row r="21" spans="1:15" x14ac:dyDescent="0.25">
      <c r="E21">
        <v>180</v>
      </c>
      <c r="F21" t="s">
        <v>274</v>
      </c>
      <c r="G21">
        <v>221</v>
      </c>
    </row>
    <row r="22" spans="1:15" x14ac:dyDescent="0.25">
      <c r="E22">
        <v>180</v>
      </c>
    </row>
    <row r="23" spans="1:15" x14ac:dyDescent="0.25">
      <c r="A23" t="s">
        <v>275</v>
      </c>
      <c r="E23">
        <v>180</v>
      </c>
      <c r="H23" t="s">
        <v>283</v>
      </c>
      <c r="I23">
        <v>700</v>
      </c>
    </row>
    <row r="24" spans="1:15" x14ac:dyDescent="0.25">
      <c r="A24" t="s">
        <v>276</v>
      </c>
      <c r="F24" t="s">
        <v>20</v>
      </c>
      <c r="G24">
        <v>100</v>
      </c>
    </row>
    <row r="25" spans="1:15" x14ac:dyDescent="0.25">
      <c r="E25">
        <v>280</v>
      </c>
      <c r="F25" t="s">
        <v>284</v>
      </c>
      <c r="G25">
        <v>70</v>
      </c>
    </row>
    <row r="26" spans="1:15" x14ac:dyDescent="0.25">
      <c r="E26">
        <v>180</v>
      </c>
      <c r="F26" t="s">
        <v>285</v>
      </c>
      <c r="G26">
        <v>504</v>
      </c>
      <c r="H26" t="s">
        <v>280</v>
      </c>
      <c r="I26">
        <v>385</v>
      </c>
    </row>
    <row r="27" spans="1:15" x14ac:dyDescent="0.25">
      <c r="E27">
        <v>180</v>
      </c>
      <c r="F27" t="s">
        <v>286</v>
      </c>
      <c r="G27">
        <v>1274</v>
      </c>
    </row>
    <row r="28" spans="1:15" x14ac:dyDescent="0.25">
      <c r="A28" t="s">
        <v>287</v>
      </c>
      <c r="E28">
        <f>271+272</f>
        <v>543</v>
      </c>
      <c r="H28" t="s">
        <v>282</v>
      </c>
      <c r="I28">
        <v>885</v>
      </c>
    </row>
    <row r="29" spans="1:15" x14ac:dyDescent="0.25">
      <c r="H29" t="s">
        <v>281</v>
      </c>
      <c r="I29">
        <v>1450</v>
      </c>
    </row>
    <row r="31" spans="1:15" x14ac:dyDescent="0.25">
      <c r="B31">
        <f>SUM(B2:B30)</f>
        <v>24000</v>
      </c>
      <c r="D31">
        <f t="shared" ref="D31:M31" si="0">SUM(D2:D30)</f>
        <v>40200</v>
      </c>
      <c r="E31">
        <f t="shared" si="0"/>
        <v>4584</v>
      </c>
      <c r="G31">
        <f>SUM(G2:G30)-3500</f>
        <v>5049</v>
      </c>
      <c r="I31">
        <f t="shared" si="0"/>
        <v>20567</v>
      </c>
      <c r="K31">
        <f t="shared" si="0"/>
        <v>0</v>
      </c>
      <c r="M31">
        <f t="shared" si="0"/>
        <v>2765</v>
      </c>
      <c r="N31">
        <f>SUM(B31:M31)</f>
        <v>97165</v>
      </c>
      <c r="O31">
        <f>SUM(N31+308485)</f>
        <v>405650</v>
      </c>
    </row>
    <row r="32" spans="1:15" x14ac:dyDescent="0.25">
      <c r="F32" t="s">
        <v>257</v>
      </c>
      <c r="G32" t="s">
        <v>258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zoomScaleNormal="100" workbookViewId="0">
      <pane ySplit="1" topLeftCell="A20" activePane="bottomLeft" state="frozen"/>
      <selection pane="bottomLeft" activeCell="A11" sqref="A11"/>
    </sheetView>
  </sheetViews>
  <sheetFormatPr defaultRowHeight="15" x14ac:dyDescent="0.25"/>
  <cols>
    <col min="1" max="1" width="12" bestFit="1" customWidth="1"/>
    <col min="3" max="3" width="15" customWidth="1"/>
    <col min="5" max="5" width="25.7109375" customWidth="1"/>
    <col min="6" max="6" width="35.140625" customWidth="1"/>
    <col min="8" max="8" width="17.28515625" customWidth="1"/>
    <col min="10" max="10" width="12.140625" customWidth="1"/>
    <col min="12" max="12" width="19.28515625" customWidth="1"/>
  </cols>
  <sheetData>
    <row r="1" spans="1:15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5" x14ac:dyDescent="0.25">
      <c r="A2" t="s">
        <v>44</v>
      </c>
      <c r="B2">
        <v>18000</v>
      </c>
      <c r="C2" t="s">
        <v>11</v>
      </c>
      <c r="D2">
        <v>36500</v>
      </c>
      <c r="E2">
        <v>180</v>
      </c>
      <c r="F2" t="s">
        <v>43</v>
      </c>
      <c r="G2">
        <v>300</v>
      </c>
      <c r="N2" t="s">
        <v>72</v>
      </c>
      <c r="O2" t="s">
        <v>279</v>
      </c>
    </row>
    <row r="3" spans="1:15" ht="30" x14ac:dyDescent="0.25">
      <c r="A3" t="s">
        <v>7</v>
      </c>
      <c r="B3">
        <v>2000</v>
      </c>
      <c r="C3" s="2" t="s">
        <v>173</v>
      </c>
      <c r="D3">
        <v>3700</v>
      </c>
      <c r="E3">
        <v>45</v>
      </c>
      <c r="F3" t="s">
        <v>13</v>
      </c>
      <c r="G3">
        <v>186</v>
      </c>
      <c r="N3" t="s">
        <v>288</v>
      </c>
      <c r="O3" t="s">
        <v>322</v>
      </c>
    </row>
    <row r="4" spans="1:15" x14ac:dyDescent="0.25">
      <c r="A4" t="s">
        <v>8</v>
      </c>
      <c r="B4">
        <v>5000</v>
      </c>
      <c r="C4" t="s">
        <v>174</v>
      </c>
      <c r="E4">
        <f>118+45+45</f>
        <v>208</v>
      </c>
      <c r="F4" t="s">
        <v>20</v>
      </c>
      <c r="G4">
        <v>250</v>
      </c>
      <c r="H4" t="s">
        <v>290</v>
      </c>
      <c r="I4">
        <v>1070</v>
      </c>
      <c r="N4" t="s">
        <v>73</v>
      </c>
    </row>
    <row r="5" spans="1:15" x14ac:dyDescent="0.25">
      <c r="F5" t="s">
        <v>295</v>
      </c>
      <c r="G5">
        <v>978</v>
      </c>
      <c r="H5" t="s">
        <v>293</v>
      </c>
      <c r="I5">
        <v>1000</v>
      </c>
      <c r="J5" t="s">
        <v>291</v>
      </c>
      <c r="K5">
        <v>700</v>
      </c>
    </row>
    <row r="6" spans="1:15" x14ac:dyDescent="0.25">
      <c r="C6" t="s">
        <v>292</v>
      </c>
      <c r="F6" t="s">
        <v>296</v>
      </c>
      <c r="G6">
        <v>400</v>
      </c>
      <c r="H6" t="s">
        <v>294</v>
      </c>
      <c r="I6">
        <v>600</v>
      </c>
      <c r="J6" t="s">
        <v>297</v>
      </c>
      <c r="K6">
        <v>1100</v>
      </c>
      <c r="L6" t="s">
        <v>15</v>
      </c>
      <c r="M6">
        <v>210</v>
      </c>
      <c r="N6" t="s">
        <v>325</v>
      </c>
    </row>
    <row r="7" spans="1:15" x14ac:dyDescent="0.25">
      <c r="E7">
        <v>180</v>
      </c>
      <c r="F7" t="s">
        <v>301</v>
      </c>
      <c r="G7">
        <v>100</v>
      </c>
      <c r="L7" t="s">
        <v>16</v>
      </c>
      <c r="M7">
        <v>191</v>
      </c>
    </row>
    <row r="8" spans="1:15" x14ac:dyDescent="0.25">
      <c r="E8">
        <v>180</v>
      </c>
      <c r="F8" t="s">
        <v>213</v>
      </c>
      <c r="G8">
        <v>150</v>
      </c>
      <c r="H8" t="s">
        <v>300</v>
      </c>
      <c r="I8">
        <f>155+155</f>
        <v>310</v>
      </c>
      <c r="L8" t="s">
        <v>232</v>
      </c>
      <c r="M8">
        <v>29</v>
      </c>
    </row>
    <row r="9" spans="1:15" x14ac:dyDescent="0.25">
      <c r="E9">
        <v>280</v>
      </c>
      <c r="L9" t="s">
        <v>17</v>
      </c>
      <c r="M9">
        <v>1364</v>
      </c>
    </row>
    <row r="10" spans="1:15" x14ac:dyDescent="0.25">
      <c r="E10">
        <v>45</v>
      </c>
      <c r="F10" t="s">
        <v>302</v>
      </c>
      <c r="G10">
        <v>200</v>
      </c>
      <c r="J10" t="s">
        <v>299</v>
      </c>
      <c r="K10">
        <f>500+500</f>
        <v>1000</v>
      </c>
    </row>
    <row r="11" spans="1:15" x14ac:dyDescent="0.25">
      <c r="A11" t="s">
        <v>277</v>
      </c>
      <c r="F11" t="s">
        <v>20</v>
      </c>
      <c r="G11">
        <v>115</v>
      </c>
    </row>
    <row r="12" spans="1:15" x14ac:dyDescent="0.25">
      <c r="A12" t="s">
        <v>278</v>
      </c>
      <c r="F12" t="s">
        <v>303</v>
      </c>
      <c r="G12">
        <v>770</v>
      </c>
      <c r="L12" t="s">
        <v>298</v>
      </c>
      <c r="M12">
        <v>200</v>
      </c>
    </row>
    <row r="13" spans="1:15" x14ac:dyDescent="0.25">
      <c r="A13" t="s">
        <v>143</v>
      </c>
      <c r="E13">
        <v>180</v>
      </c>
      <c r="F13" t="s">
        <v>304</v>
      </c>
      <c r="G13">
        <v>36</v>
      </c>
    </row>
    <row r="14" spans="1:15" x14ac:dyDescent="0.25">
      <c r="C14" t="s">
        <v>310</v>
      </c>
      <c r="E14">
        <v>95</v>
      </c>
      <c r="F14" t="s">
        <v>306</v>
      </c>
      <c r="G14">
        <v>547</v>
      </c>
    </row>
    <row r="15" spans="1:15" x14ac:dyDescent="0.25">
      <c r="E15">
        <v>180</v>
      </c>
      <c r="F15" t="s">
        <v>307</v>
      </c>
      <c r="G15">
        <f>330+80</f>
        <v>410</v>
      </c>
    </row>
    <row r="16" spans="1:15" x14ac:dyDescent="0.25">
      <c r="A16" t="s">
        <v>305</v>
      </c>
      <c r="E16">
        <v>100</v>
      </c>
      <c r="F16" t="s">
        <v>308</v>
      </c>
      <c r="G16">
        <v>410</v>
      </c>
      <c r="H16" t="s">
        <v>313</v>
      </c>
      <c r="I16">
        <v>1160</v>
      </c>
    </row>
    <row r="17" spans="2:14" x14ac:dyDescent="0.25">
      <c r="F17" t="s">
        <v>20</v>
      </c>
      <c r="G17">
        <v>75</v>
      </c>
    </row>
    <row r="19" spans="2:14" x14ac:dyDescent="0.25">
      <c r="E19">
        <f>266+107</f>
        <v>373</v>
      </c>
      <c r="F19" t="s">
        <v>311</v>
      </c>
      <c r="G19">
        <v>40</v>
      </c>
    </row>
    <row r="20" spans="2:14" x14ac:dyDescent="0.25">
      <c r="E20">
        <f>45+85</f>
        <v>130</v>
      </c>
      <c r="F20" t="s">
        <v>312</v>
      </c>
      <c r="G20">
        <v>75</v>
      </c>
      <c r="L20" t="s">
        <v>72</v>
      </c>
      <c r="M20">
        <v>300</v>
      </c>
    </row>
    <row r="21" spans="2:14" x14ac:dyDescent="0.25">
      <c r="E21">
        <v>180</v>
      </c>
      <c r="F21" t="s">
        <v>314</v>
      </c>
      <c r="G21">
        <v>360</v>
      </c>
    </row>
    <row r="22" spans="2:14" x14ac:dyDescent="0.25">
      <c r="F22" t="s">
        <v>315</v>
      </c>
      <c r="G22">
        <v>255</v>
      </c>
    </row>
    <row r="23" spans="2:14" x14ac:dyDescent="0.25">
      <c r="F23" t="s">
        <v>316</v>
      </c>
      <c r="G23">
        <v>80</v>
      </c>
    </row>
    <row r="24" spans="2:14" x14ac:dyDescent="0.25">
      <c r="E24">
        <v>320</v>
      </c>
      <c r="F24" t="s">
        <v>317</v>
      </c>
      <c r="G24">
        <v>5500</v>
      </c>
    </row>
    <row r="25" spans="2:14" x14ac:dyDescent="0.25">
      <c r="F25" t="s">
        <v>318</v>
      </c>
      <c r="G25">
        <v>2700</v>
      </c>
    </row>
    <row r="26" spans="2:14" x14ac:dyDescent="0.25">
      <c r="H26" t="s">
        <v>338</v>
      </c>
      <c r="I26">
        <v>2885</v>
      </c>
    </row>
    <row r="27" spans="2:14" x14ac:dyDescent="0.25">
      <c r="C27" t="s">
        <v>321</v>
      </c>
      <c r="F27" t="s">
        <v>20</v>
      </c>
      <c r="G27">
        <v>235</v>
      </c>
      <c r="H27" t="s">
        <v>339</v>
      </c>
      <c r="I27">
        <v>2200</v>
      </c>
    </row>
    <row r="28" spans="2:14" x14ac:dyDescent="0.25">
      <c r="E28">
        <f>269+234</f>
        <v>503</v>
      </c>
      <c r="F28" t="s">
        <v>330</v>
      </c>
      <c r="G28">
        <v>80</v>
      </c>
    </row>
    <row r="29" spans="2:14" x14ac:dyDescent="0.25">
      <c r="E29">
        <v>180</v>
      </c>
      <c r="F29" t="s">
        <v>336</v>
      </c>
      <c r="G29">
        <v>253</v>
      </c>
    </row>
    <row r="30" spans="2:14" x14ac:dyDescent="0.25">
      <c r="F30" t="s">
        <v>337</v>
      </c>
      <c r="G30">
        <f>70+60+36+40</f>
        <v>206</v>
      </c>
      <c r="H30" t="s">
        <v>341</v>
      </c>
      <c r="I30">
        <v>1070</v>
      </c>
    </row>
    <row r="31" spans="2:14" x14ac:dyDescent="0.25">
      <c r="F31" t="s">
        <v>340</v>
      </c>
      <c r="G31">
        <v>800</v>
      </c>
      <c r="H31" t="s">
        <v>342</v>
      </c>
      <c r="I31">
        <v>725</v>
      </c>
    </row>
    <row r="32" spans="2:14" x14ac:dyDescent="0.25">
      <c r="B32">
        <f>SUM(B2:B31)</f>
        <v>25000</v>
      </c>
      <c r="D32">
        <f>SUM(D2:D31)</f>
        <v>40200</v>
      </c>
      <c r="E32">
        <f t="shared" ref="E32:M32" si="0">SUM(E2:E31)</f>
        <v>3359</v>
      </c>
      <c r="G32">
        <f>SUM(G2:G31)-3500</f>
        <v>12011</v>
      </c>
      <c r="I32">
        <f t="shared" si="0"/>
        <v>11020</v>
      </c>
      <c r="K32">
        <f t="shared" si="0"/>
        <v>2800</v>
      </c>
      <c r="M32">
        <f t="shared" si="0"/>
        <v>2294</v>
      </c>
      <c r="N32">
        <f>SUM(B32:M32)</f>
        <v>96684</v>
      </c>
    </row>
    <row r="33" spans="6:6" x14ac:dyDescent="0.25">
      <c r="F33" t="s">
        <v>309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topLeftCell="A4" workbookViewId="0">
      <selection activeCell="D22" sqref="D22"/>
    </sheetView>
  </sheetViews>
  <sheetFormatPr defaultRowHeight="15" x14ac:dyDescent="0.25"/>
  <cols>
    <col min="1" max="1" width="58.85546875" customWidth="1"/>
    <col min="6" max="6" width="17.140625" customWidth="1"/>
  </cols>
  <sheetData>
    <row r="1" spans="1:7" x14ac:dyDescent="0.25">
      <c r="A1" t="s">
        <v>327</v>
      </c>
      <c r="F1" t="s">
        <v>328</v>
      </c>
    </row>
    <row r="2" spans="1:7" x14ac:dyDescent="0.25">
      <c r="A2" t="s">
        <v>326</v>
      </c>
      <c r="B2">
        <v>616000</v>
      </c>
      <c r="F2" t="s">
        <v>331</v>
      </c>
      <c r="G2">
        <v>30000</v>
      </c>
    </row>
    <row r="3" spans="1:7" x14ac:dyDescent="0.25">
      <c r="A3" t="s">
        <v>329</v>
      </c>
      <c r="B3">
        <v>6000</v>
      </c>
      <c r="F3" t="s">
        <v>332</v>
      </c>
      <c r="G3">
        <v>50000</v>
      </c>
    </row>
    <row r="4" spans="1:7" x14ac:dyDescent="0.25">
      <c r="A4" t="s">
        <v>378</v>
      </c>
      <c r="B4">
        <v>2700</v>
      </c>
      <c r="F4" t="s">
        <v>333</v>
      </c>
      <c r="G4">
        <v>64000</v>
      </c>
    </row>
    <row r="5" spans="1:7" x14ac:dyDescent="0.25">
      <c r="A5" t="s">
        <v>346</v>
      </c>
      <c r="B5">
        <v>85000</v>
      </c>
      <c r="F5" t="s">
        <v>334</v>
      </c>
      <c r="G5">
        <v>30000</v>
      </c>
    </row>
    <row r="6" spans="1:7" x14ac:dyDescent="0.25">
      <c r="A6" t="s">
        <v>347</v>
      </c>
      <c r="B6">
        <v>99000</v>
      </c>
    </row>
    <row r="7" spans="1:7" x14ac:dyDescent="0.25">
      <c r="A7" t="s">
        <v>344</v>
      </c>
      <c r="B7">
        <v>17000</v>
      </c>
    </row>
    <row r="8" spans="1:7" x14ac:dyDescent="0.25">
      <c r="A8" t="s">
        <v>348</v>
      </c>
      <c r="B8">
        <v>70000</v>
      </c>
    </row>
    <row r="9" spans="1:7" x14ac:dyDescent="0.25">
      <c r="A9" t="s">
        <v>359</v>
      </c>
      <c r="B9">
        <f>450+260+297</f>
        <v>1007</v>
      </c>
      <c r="F9" t="s">
        <v>376</v>
      </c>
      <c r="G9">
        <v>14000</v>
      </c>
    </row>
    <row r="10" spans="1:7" x14ac:dyDescent="0.25">
      <c r="A10" t="s">
        <v>387</v>
      </c>
      <c r="B10">
        <f>800+2600</f>
        <v>3400</v>
      </c>
      <c r="F10" t="s">
        <v>335</v>
      </c>
      <c r="G10">
        <v>3000</v>
      </c>
    </row>
    <row r="11" spans="1:7" x14ac:dyDescent="0.25">
      <c r="A11" t="s">
        <v>386</v>
      </c>
      <c r="B11">
        <f>1315+127</f>
        <v>1442</v>
      </c>
      <c r="F11" t="s">
        <v>370</v>
      </c>
      <c r="G11">
        <v>2100</v>
      </c>
    </row>
    <row r="12" spans="1:7" x14ac:dyDescent="0.25">
      <c r="A12" t="s">
        <v>362</v>
      </c>
      <c r="B12">
        <v>588</v>
      </c>
      <c r="F12" t="s">
        <v>374</v>
      </c>
    </row>
    <row r="13" spans="1:7" x14ac:dyDescent="0.25">
      <c r="A13" t="s">
        <v>366</v>
      </c>
      <c r="B13">
        <v>15000</v>
      </c>
      <c r="F13" t="s">
        <v>375</v>
      </c>
      <c r="G13">
        <v>10000</v>
      </c>
    </row>
    <row r="14" spans="1:7" x14ac:dyDescent="0.25">
      <c r="A14" t="s">
        <v>369</v>
      </c>
      <c r="B14">
        <v>14000</v>
      </c>
    </row>
    <row r="15" spans="1:7" x14ac:dyDescent="0.25">
      <c r="A15" t="s">
        <v>372</v>
      </c>
      <c r="B15">
        <f>554+300+380+110</f>
        <v>1344</v>
      </c>
      <c r="F15" t="s">
        <v>379</v>
      </c>
      <c r="G15">
        <v>10000</v>
      </c>
    </row>
    <row r="16" spans="1:7" x14ac:dyDescent="0.25">
      <c r="A16" t="s">
        <v>377</v>
      </c>
      <c r="B16">
        <v>15000</v>
      </c>
      <c r="C16" t="s">
        <v>392</v>
      </c>
    </row>
    <row r="17" spans="1:2" x14ac:dyDescent="0.25">
      <c r="A17" t="s">
        <v>380</v>
      </c>
      <c r="B17">
        <v>3200</v>
      </c>
    </row>
    <row r="18" spans="1:2" x14ac:dyDescent="0.25">
      <c r="A18" t="s">
        <v>381</v>
      </c>
      <c r="B18">
        <v>12000</v>
      </c>
    </row>
    <row r="19" spans="1:2" x14ac:dyDescent="0.25">
      <c r="A19" t="s">
        <v>382</v>
      </c>
      <c r="B19">
        <v>1900</v>
      </c>
    </row>
    <row r="20" spans="1:2" x14ac:dyDescent="0.25">
      <c r="A20" t="s">
        <v>383</v>
      </c>
      <c r="B20">
        <v>10200</v>
      </c>
    </row>
    <row r="21" spans="1:2" x14ac:dyDescent="0.25">
      <c r="A21" t="s">
        <v>384</v>
      </c>
      <c r="B21">
        <v>11000</v>
      </c>
    </row>
    <row r="22" spans="1:2" x14ac:dyDescent="0.25">
      <c r="A22" t="s">
        <v>385</v>
      </c>
    </row>
    <row r="23" spans="1:2" x14ac:dyDescent="0.25">
      <c r="A23" t="s">
        <v>393</v>
      </c>
      <c r="B23">
        <f>2750+312</f>
        <v>3062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workbookViewId="0">
      <pane ySplit="1" topLeftCell="A14" activePane="bottomLeft" state="frozen"/>
      <selection pane="bottomLeft" activeCell="F32" sqref="F32"/>
    </sheetView>
  </sheetViews>
  <sheetFormatPr defaultRowHeight="15" x14ac:dyDescent="0.25"/>
  <cols>
    <col min="1" max="1" width="15.5703125" customWidth="1"/>
    <col min="3" max="3" width="18.5703125" customWidth="1"/>
    <col min="5" max="5" width="17.140625" customWidth="1"/>
    <col min="6" max="6" width="26.140625" customWidth="1"/>
    <col min="8" max="8" width="21.7109375" customWidth="1"/>
    <col min="10" max="10" width="25.5703125" customWidth="1"/>
    <col min="12" max="12" width="19.28515625" customWidth="1"/>
    <col min="14" max="14" width="23.7109375" customWidth="1"/>
  </cols>
  <sheetData>
    <row r="1" spans="1:15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5" x14ac:dyDescent="0.25">
      <c r="A2" t="s">
        <v>44</v>
      </c>
      <c r="B2">
        <v>18000</v>
      </c>
      <c r="C2" t="s">
        <v>11</v>
      </c>
      <c r="D2">
        <v>36500</v>
      </c>
      <c r="F2" t="s">
        <v>43</v>
      </c>
      <c r="G2">
        <v>300</v>
      </c>
    </row>
    <row r="3" spans="1:15" x14ac:dyDescent="0.25">
      <c r="A3" t="s">
        <v>7</v>
      </c>
      <c r="B3">
        <v>2000</v>
      </c>
      <c r="C3" s="2" t="s">
        <v>173</v>
      </c>
      <c r="D3">
        <f>3500+3000</f>
        <v>6500</v>
      </c>
      <c r="E3">
        <v>45</v>
      </c>
      <c r="F3" t="s">
        <v>13</v>
      </c>
      <c r="G3">
        <v>186</v>
      </c>
      <c r="J3" s="2" t="s">
        <v>351</v>
      </c>
      <c r="K3">
        <v>1285</v>
      </c>
      <c r="N3" t="s">
        <v>72</v>
      </c>
      <c r="O3" t="s">
        <v>279</v>
      </c>
    </row>
    <row r="4" spans="1:15" x14ac:dyDescent="0.25">
      <c r="A4" t="s">
        <v>8</v>
      </c>
      <c r="B4">
        <v>5000</v>
      </c>
      <c r="C4" t="s">
        <v>320</v>
      </c>
      <c r="E4">
        <v>320</v>
      </c>
      <c r="F4" t="s">
        <v>343</v>
      </c>
      <c r="G4">
        <v>40000</v>
      </c>
      <c r="N4" t="s">
        <v>288</v>
      </c>
      <c r="O4" t="s">
        <v>322</v>
      </c>
    </row>
    <row r="5" spans="1:15" x14ac:dyDescent="0.25">
      <c r="A5" t="s">
        <v>358</v>
      </c>
      <c r="B5">
        <v>2668</v>
      </c>
      <c r="F5" t="s">
        <v>344</v>
      </c>
      <c r="G5">
        <v>17000</v>
      </c>
      <c r="J5" t="s">
        <v>352</v>
      </c>
      <c r="K5">
        <v>5034</v>
      </c>
      <c r="N5" t="s">
        <v>73</v>
      </c>
    </row>
    <row r="6" spans="1:15" x14ac:dyDescent="0.25">
      <c r="F6" t="s">
        <v>345</v>
      </c>
      <c r="G6">
        <v>50000</v>
      </c>
    </row>
    <row r="7" spans="1:15" x14ac:dyDescent="0.25">
      <c r="F7" t="s">
        <v>353</v>
      </c>
      <c r="G7">
        <v>55</v>
      </c>
      <c r="L7" t="s">
        <v>15</v>
      </c>
      <c r="M7">
        <v>210</v>
      </c>
    </row>
    <row r="8" spans="1:15" x14ac:dyDescent="0.25">
      <c r="F8" t="s">
        <v>354</v>
      </c>
      <c r="G8">
        <f>450+260</f>
        <v>710</v>
      </c>
      <c r="L8" t="s">
        <v>16</v>
      </c>
      <c r="M8">
        <v>199</v>
      </c>
      <c r="N8" t="s">
        <v>323</v>
      </c>
      <c r="O8" t="s">
        <v>324</v>
      </c>
    </row>
    <row r="9" spans="1:15" x14ac:dyDescent="0.25">
      <c r="F9" t="s">
        <v>355</v>
      </c>
      <c r="G9">
        <v>560</v>
      </c>
      <c r="L9" t="s">
        <v>232</v>
      </c>
      <c r="M9">
        <v>29</v>
      </c>
    </row>
    <row r="10" spans="1:15" x14ac:dyDescent="0.25">
      <c r="E10">
        <f>180+67</f>
        <v>247</v>
      </c>
      <c r="F10" t="s">
        <v>227</v>
      </c>
      <c r="G10">
        <v>115</v>
      </c>
      <c r="L10" t="s">
        <v>17</v>
      </c>
      <c r="M10">
        <v>1384</v>
      </c>
    </row>
    <row r="11" spans="1:15" x14ac:dyDescent="0.25">
      <c r="A11" t="s">
        <v>390</v>
      </c>
      <c r="E11">
        <f>45+60+90</f>
        <v>195</v>
      </c>
      <c r="F11" t="s">
        <v>356</v>
      </c>
    </row>
    <row r="12" spans="1:15" x14ac:dyDescent="0.25">
      <c r="A12" t="s">
        <v>319</v>
      </c>
      <c r="E12">
        <f>88+60+23</f>
        <v>171</v>
      </c>
      <c r="F12" t="s">
        <v>357</v>
      </c>
      <c r="G12">
        <v>588</v>
      </c>
    </row>
    <row r="13" spans="1:15" x14ac:dyDescent="0.25">
      <c r="A13" t="s">
        <v>143</v>
      </c>
      <c r="F13" t="s">
        <v>227</v>
      </c>
      <c r="G13">
        <v>125</v>
      </c>
      <c r="L13" t="s">
        <v>298</v>
      </c>
      <c r="M13">
        <v>200</v>
      </c>
    </row>
    <row r="14" spans="1:15" x14ac:dyDescent="0.25">
      <c r="F14" t="s">
        <v>359</v>
      </c>
      <c r="G14">
        <f>450+260+297</f>
        <v>1007</v>
      </c>
      <c r="L14" t="s">
        <v>288</v>
      </c>
      <c r="M14">
        <v>210</v>
      </c>
    </row>
    <row r="15" spans="1:15" x14ac:dyDescent="0.25">
      <c r="F15" t="s">
        <v>360</v>
      </c>
      <c r="G15">
        <v>1899</v>
      </c>
      <c r="M15">
        <v>48</v>
      </c>
    </row>
    <row r="16" spans="1:15" x14ac:dyDescent="0.25">
      <c r="A16" t="s">
        <v>350</v>
      </c>
      <c r="E16">
        <v>180</v>
      </c>
      <c r="F16" t="s">
        <v>361</v>
      </c>
      <c r="G16">
        <f>1315+127</f>
        <v>1442</v>
      </c>
      <c r="J16" t="s">
        <v>363</v>
      </c>
      <c r="K16">
        <v>2663</v>
      </c>
    </row>
    <row r="17" spans="2:14" x14ac:dyDescent="0.25">
      <c r="E17">
        <v>180</v>
      </c>
      <c r="F17" t="s">
        <v>362</v>
      </c>
      <c r="G17">
        <v>588</v>
      </c>
    </row>
    <row r="18" spans="2:14" x14ac:dyDescent="0.25">
      <c r="E18">
        <v>45</v>
      </c>
      <c r="F18" t="s">
        <v>365</v>
      </c>
      <c r="G18">
        <f>200+80+190</f>
        <v>470</v>
      </c>
      <c r="J18" t="s">
        <v>364</v>
      </c>
      <c r="K18">
        <v>500</v>
      </c>
    </row>
    <row r="19" spans="2:14" x14ac:dyDescent="0.25">
      <c r="E19">
        <v>280</v>
      </c>
      <c r="F19" t="s">
        <v>367</v>
      </c>
      <c r="G19">
        <v>70</v>
      </c>
    </row>
    <row r="20" spans="2:14" x14ac:dyDescent="0.25">
      <c r="F20" t="s">
        <v>372</v>
      </c>
      <c r="G20">
        <v>554</v>
      </c>
      <c r="J20" t="s">
        <v>368</v>
      </c>
      <c r="K20">
        <v>800</v>
      </c>
    </row>
    <row r="22" spans="2:14" x14ac:dyDescent="0.25">
      <c r="E22">
        <v>180</v>
      </c>
      <c r="H22" t="s">
        <v>373</v>
      </c>
      <c r="I22">
        <v>2500</v>
      </c>
    </row>
    <row r="23" spans="2:14" x14ac:dyDescent="0.25">
      <c r="E23">
        <v>180</v>
      </c>
      <c r="J23" t="s">
        <v>371</v>
      </c>
      <c r="K23">
        <v>500</v>
      </c>
    </row>
    <row r="24" spans="2:14" x14ac:dyDescent="0.25">
      <c r="E24">
        <v>45</v>
      </c>
    </row>
    <row r="31" spans="2:14" x14ac:dyDescent="0.25">
      <c r="B31">
        <f>SUM(B2:B30)</f>
        <v>27668</v>
      </c>
      <c r="D31">
        <f>SUM(D2:D30)</f>
        <v>43000</v>
      </c>
      <c r="E31">
        <f>SUM(E2:E30)</f>
        <v>2068</v>
      </c>
      <c r="F31">
        <f>SUM(F2:F30)</f>
        <v>0</v>
      </c>
      <c r="G31">
        <f>SUM(G2:G30)</f>
        <v>115669</v>
      </c>
      <c r="I31">
        <f>SUM(I2:I30)</f>
        <v>2500</v>
      </c>
      <c r="K31">
        <f>SUM(K2:K30)</f>
        <v>10782</v>
      </c>
      <c r="M31">
        <f>SUM(M2:M30)</f>
        <v>2280</v>
      </c>
      <c r="N31">
        <f>SUM(B31:M31)</f>
        <v>203967</v>
      </c>
    </row>
    <row r="32" spans="2:14" x14ac:dyDescent="0.25">
      <c r="F32" t="s">
        <v>349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topLeftCell="B1" workbookViewId="0">
      <pane ySplit="1" topLeftCell="A2" activePane="bottomLeft" state="frozen"/>
      <selection pane="bottomLeft" activeCell="F17" sqref="F17"/>
    </sheetView>
  </sheetViews>
  <sheetFormatPr defaultRowHeight="15" x14ac:dyDescent="0.25"/>
  <cols>
    <col min="1" max="1" width="16" customWidth="1"/>
    <col min="3" max="3" width="13.42578125" customWidth="1"/>
    <col min="5" max="5" width="19.42578125" customWidth="1"/>
    <col min="6" max="6" width="24.42578125" customWidth="1"/>
    <col min="8" max="8" width="16.28515625" customWidth="1"/>
    <col min="12" max="12" width="16.28515625" customWidth="1"/>
  </cols>
  <sheetData>
    <row r="1" spans="1:15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5" x14ac:dyDescent="0.25">
      <c r="A2" t="s">
        <v>44</v>
      </c>
      <c r="B2">
        <v>18000</v>
      </c>
      <c r="C2" t="s">
        <v>11</v>
      </c>
      <c r="D2">
        <v>36500</v>
      </c>
      <c r="F2" t="s">
        <v>43</v>
      </c>
      <c r="G2">
        <v>300</v>
      </c>
    </row>
    <row r="3" spans="1:15" ht="30" x14ac:dyDescent="0.25">
      <c r="A3" t="s">
        <v>7</v>
      </c>
      <c r="B3">
        <v>2000</v>
      </c>
      <c r="C3" s="2" t="s">
        <v>173</v>
      </c>
      <c r="D3">
        <f>1700+2000</f>
        <v>3700</v>
      </c>
      <c r="F3" t="s">
        <v>13</v>
      </c>
      <c r="G3">
        <v>186</v>
      </c>
      <c r="N3" t="s">
        <v>72</v>
      </c>
      <c r="O3" t="s">
        <v>279</v>
      </c>
    </row>
    <row r="4" spans="1:15" x14ac:dyDescent="0.25">
      <c r="A4" t="s">
        <v>8</v>
      </c>
      <c r="B4">
        <v>5000</v>
      </c>
      <c r="F4" t="s">
        <v>380</v>
      </c>
      <c r="G4">
        <v>3200</v>
      </c>
      <c r="N4" t="s">
        <v>288</v>
      </c>
      <c r="O4" t="s">
        <v>322</v>
      </c>
    </row>
    <row r="5" spans="1:15" x14ac:dyDescent="0.25">
      <c r="A5" t="s">
        <v>358</v>
      </c>
      <c r="B5">
        <v>2668</v>
      </c>
      <c r="F5" t="s">
        <v>381</v>
      </c>
      <c r="G5">
        <v>12000</v>
      </c>
      <c r="N5" t="s">
        <v>73</v>
      </c>
    </row>
    <row r="6" spans="1:15" x14ac:dyDescent="0.25">
      <c r="F6" t="s">
        <v>382</v>
      </c>
      <c r="G6">
        <v>1900</v>
      </c>
      <c r="L6" t="s">
        <v>15</v>
      </c>
      <c r="M6">
        <v>210</v>
      </c>
    </row>
    <row r="7" spans="1:15" x14ac:dyDescent="0.25">
      <c r="F7" t="s">
        <v>383</v>
      </c>
      <c r="G7">
        <v>10200</v>
      </c>
      <c r="L7" t="s">
        <v>16</v>
      </c>
      <c r="M7">
        <v>199</v>
      </c>
    </row>
    <row r="8" spans="1:15" x14ac:dyDescent="0.25">
      <c r="F8" t="s">
        <v>384</v>
      </c>
      <c r="G8">
        <v>11000</v>
      </c>
      <c r="L8" t="s">
        <v>232</v>
      </c>
      <c r="M8">
        <v>29</v>
      </c>
      <c r="N8" t="s">
        <v>323</v>
      </c>
      <c r="O8" t="s">
        <v>324</v>
      </c>
    </row>
    <row r="9" spans="1:15" x14ac:dyDescent="0.25">
      <c r="H9" t="s">
        <v>394</v>
      </c>
      <c r="I9">
        <v>13200</v>
      </c>
      <c r="L9" t="s">
        <v>17</v>
      </c>
      <c r="M9">
        <v>1384</v>
      </c>
    </row>
    <row r="10" spans="1:15" x14ac:dyDescent="0.25">
      <c r="F10" t="s">
        <v>388</v>
      </c>
      <c r="G10">
        <v>2750</v>
      </c>
    </row>
    <row r="11" spans="1:15" x14ac:dyDescent="0.25">
      <c r="A11" t="s">
        <v>391</v>
      </c>
      <c r="F11" t="s">
        <v>379</v>
      </c>
      <c r="G11">
        <v>15000</v>
      </c>
    </row>
    <row r="12" spans="1:15" x14ac:dyDescent="0.25">
      <c r="A12" t="s">
        <v>389</v>
      </c>
      <c r="L12" t="s">
        <v>298</v>
      </c>
      <c r="M12">
        <v>200</v>
      </c>
    </row>
    <row r="13" spans="1:15" x14ac:dyDescent="0.25">
      <c r="A13" t="s">
        <v>143</v>
      </c>
    </row>
    <row r="32" spans="2:14" x14ac:dyDescent="0.25">
      <c r="B32">
        <f>SUM(B2:B31)</f>
        <v>27668</v>
      </c>
      <c r="D32">
        <f t="shared" ref="D32:M32" si="0">SUM(D2:D31)</f>
        <v>40200</v>
      </c>
      <c r="G32">
        <f t="shared" si="0"/>
        <v>56536</v>
      </c>
      <c r="I32">
        <f t="shared" si="0"/>
        <v>13200</v>
      </c>
      <c r="K32">
        <f t="shared" si="0"/>
        <v>0</v>
      </c>
      <c r="M32">
        <f t="shared" si="0"/>
        <v>2022</v>
      </c>
      <c r="N32">
        <f>SUM(B32:M32)</f>
        <v>139626</v>
      </c>
    </row>
    <row r="33" spans="6:6" x14ac:dyDescent="0.25">
      <c r="F33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</vt:lpstr>
      <vt:lpstr>Feb</vt:lpstr>
      <vt:lpstr>March</vt:lpstr>
      <vt:lpstr>April</vt:lpstr>
      <vt:lpstr>May</vt:lpstr>
      <vt:lpstr>June</vt:lpstr>
      <vt:lpstr>July</vt:lpstr>
      <vt:lpstr>August</vt:lpstr>
      <vt:lpstr>Sept</vt:lpstr>
      <vt:lpstr>Oct</vt:lpstr>
      <vt:lpstr>Interior </vt:lpstr>
      <vt:lpstr>Nov</vt:lpstr>
      <vt:lpstr>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Rupali Vitthal Bhore</dc:creator>
  <cp:lastModifiedBy>Rupali Vitthal Bhore</cp:lastModifiedBy>
  <dcterms:created xsi:type="dcterms:W3CDTF">2023-12-25T07:02:57Z</dcterms:created>
  <dcterms:modified xsi:type="dcterms:W3CDTF">2024-12-11T10:51:43Z</dcterms:modified>
</cp:coreProperties>
</file>