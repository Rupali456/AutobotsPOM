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rupalibh\Desktop\PS\Expense\"/>
    </mc:Choice>
  </mc:AlternateContent>
  <xr:revisionPtr revIDLastSave="0" documentId="13_ncr:1_{18B07ACA-8D90-44DE-8EE6-DEA539D04FAF}" xr6:coauthVersionLast="47" xr6:coauthVersionMax="47" xr10:uidLastSave="{00000000-0000-0000-0000-000000000000}"/>
  <bookViews>
    <workbookView xWindow="-120" yWindow="-120" windowWidth="20730" windowHeight="11160" firstSheet="3" activeTab="11" xr2:uid="{00000000-000D-0000-FFFF-FFFF00000000}"/>
  </bookViews>
  <sheets>
    <sheet name="Jan" sheetId="1" r:id="rId1"/>
    <sheet name="Feb" sheetId="2" r:id="rId2"/>
    <sheet name="March" sheetId="4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" sheetId="11" r:id="rId9"/>
    <sheet name="Oct" sheetId="12" r:id="rId10"/>
    <sheet name="Nov" sheetId="13" r:id="rId11"/>
    <sheet name="Dec" sheetId="15" r:id="rId12"/>
    <sheet name="Belgium" sheetId="16" r:id="rId13"/>
    <sheet name="Manali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5" l="1"/>
  <c r="E28" i="15"/>
  <c r="E29" i="15"/>
  <c r="E27" i="15"/>
  <c r="G26" i="15"/>
  <c r="N18" i="15"/>
  <c r="N19" i="15" s="1"/>
  <c r="E29" i="14"/>
  <c r="G16" i="15" l="1"/>
  <c r="G14" i="15"/>
  <c r="K32" i="15"/>
  <c r="L32" i="15"/>
  <c r="B32" i="15"/>
  <c r="D32" i="15"/>
  <c r="G32" i="15"/>
  <c r="I32" i="15"/>
  <c r="E15" i="15"/>
  <c r="E16" i="15"/>
  <c r="E14" i="15"/>
  <c r="E32" i="15" s="1"/>
  <c r="G11" i="15"/>
  <c r="E6" i="15"/>
  <c r="I3" i="13"/>
  <c r="E30" i="13"/>
  <c r="E31" i="13"/>
  <c r="E29" i="13"/>
  <c r="B11" i="14"/>
  <c r="B29" i="14" s="1"/>
  <c r="E22" i="13"/>
  <c r="E24" i="13"/>
  <c r="E23" i="13"/>
  <c r="I19" i="13"/>
  <c r="I14" i="13"/>
  <c r="E16" i="13"/>
  <c r="E17" i="13"/>
  <c r="E15" i="13"/>
  <c r="I12" i="13"/>
  <c r="G30" i="12"/>
  <c r="B32" i="13"/>
  <c r="D32" i="13"/>
  <c r="G32" i="13"/>
  <c r="K32" i="13"/>
  <c r="M32" i="13"/>
  <c r="G15" i="12"/>
  <c r="I29" i="11"/>
  <c r="E33" i="12"/>
  <c r="D33" i="12"/>
  <c r="I33" i="12"/>
  <c r="K33" i="12"/>
  <c r="M33" i="12"/>
  <c r="B33" i="12"/>
  <c r="G31" i="11"/>
  <c r="O10" i="12"/>
  <c r="I22" i="11"/>
  <c r="E27" i="11"/>
  <c r="I24" i="11"/>
  <c r="M32" i="11"/>
  <c r="D32" i="11"/>
  <c r="E32" i="11"/>
  <c r="K32" i="11"/>
  <c r="B32" i="11"/>
  <c r="G4" i="11"/>
  <c r="G3" i="11"/>
  <c r="G32" i="11" s="1"/>
  <c r="I2" i="11"/>
  <c r="O7" i="11"/>
  <c r="G21" i="10"/>
  <c r="G32" i="10" s="1"/>
  <c r="G5" i="10"/>
  <c r="O7" i="10"/>
  <c r="I33" i="9"/>
  <c r="G32" i="9"/>
  <c r="G33" i="9" s="1"/>
  <c r="D32" i="10"/>
  <c r="I32" i="10"/>
  <c r="K32" i="10"/>
  <c r="B32" i="10"/>
  <c r="D2" i="9"/>
  <c r="D3" i="4"/>
  <c r="D32" i="4" s="1"/>
  <c r="E33" i="9"/>
  <c r="D33" i="9"/>
  <c r="K33" i="9"/>
  <c r="M33" i="9"/>
  <c r="B33" i="9"/>
  <c r="D2" i="8"/>
  <c r="D31" i="8" s="1"/>
  <c r="G2" i="8"/>
  <c r="G3" i="8"/>
  <c r="G31" i="8" s="1"/>
  <c r="B31" i="8"/>
  <c r="E31" i="8"/>
  <c r="I31" i="8"/>
  <c r="K31" i="8"/>
  <c r="M31" i="8"/>
  <c r="G20" i="7"/>
  <c r="G32" i="7" s="1"/>
  <c r="E32" i="7"/>
  <c r="I32" i="7"/>
  <c r="K32" i="7"/>
  <c r="M32" i="7"/>
  <c r="B32" i="7"/>
  <c r="D3" i="6"/>
  <c r="G31" i="6"/>
  <c r="G32" i="6" s="1"/>
  <c r="D2" i="7"/>
  <c r="D32" i="7" s="1"/>
  <c r="M32" i="6"/>
  <c r="D32" i="6"/>
  <c r="E32" i="6"/>
  <c r="G24" i="6"/>
  <c r="I29" i="4"/>
  <c r="I32" i="6"/>
  <c r="K32" i="6"/>
  <c r="B32" i="6"/>
  <c r="I22" i="4"/>
  <c r="I15" i="4"/>
  <c r="G20" i="4"/>
  <c r="G32" i="4" s="1"/>
  <c r="G18" i="4"/>
  <c r="D3" i="2"/>
  <c r="M32" i="4"/>
  <c r="B32" i="4"/>
  <c r="K32" i="4"/>
  <c r="G7" i="4"/>
  <c r="B32" i="1"/>
  <c r="B30" i="2"/>
  <c r="I32" i="11" l="1"/>
  <c r="M32" i="15"/>
  <c r="E32" i="13"/>
  <c r="I32" i="13"/>
  <c r="N32" i="13" s="1"/>
  <c r="G33" i="12"/>
  <c r="N33" i="12"/>
  <c r="N32" i="11"/>
  <c r="M32" i="10"/>
  <c r="N33" i="9"/>
  <c r="N31" i="8"/>
  <c r="N32" i="7"/>
  <c r="N32" i="6"/>
  <c r="I32" i="4"/>
  <c r="N32" i="4" s="1"/>
  <c r="G27" i="2"/>
  <c r="G26" i="2"/>
  <c r="G24" i="2"/>
  <c r="G23" i="2"/>
  <c r="G22" i="2"/>
  <c r="E30" i="2" l="1"/>
  <c r="G30" i="2"/>
  <c r="I30" i="2"/>
  <c r="K30" i="2"/>
  <c r="M3" i="2" l="1"/>
  <c r="M30" i="2" s="1"/>
  <c r="D30" i="2" l="1"/>
  <c r="N30" i="2" s="1"/>
  <c r="E32" i="1" l="1"/>
  <c r="G32" i="1"/>
  <c r="K32" i="1"/>
  <c r="M5" i="1" l="1"/>
  <c r="M32" i="1" s="1"/>
  <c r="D3" i="1" l="1"/>
  <c r="D32" i="1" s="1"/>
  <c r="N32" i="1" s="1"/>
</calcChain>
</file>

<file path=xl/sharedStrings.xml><?xml version="1.0" encoding="utf-8"?>
<sst xmlns="http://schemas.openxmlformats.org/spreadsheetml/2006/main" count="782" uniqueCount="443">
  <si>
    <t>shopping/outing</t>
  </si>
  <si>
    <t>borrow</t>
  </si>
  <si>
    <t>Mavshi</t>
  </si>
  <si>
    <t>aai</t>
  </si>
  <si>
    <t>RD</t>
  </si>
  <si>
    <t>paper bill</t>
  </si>
  <si>
    <t>Sangeeta mavshi</t>
  </si>
  <si>
    <t>yogi</t>
  </si>
  <si>
    <t>LIC</t>
  </si>
  <si>
    <t>mutual fund</t>
  </si>
  <si>
    <t>pappancha cake</t>
  </si>
  <si>
    <t>rent</t>
  </si>
  <si>
    <t>Received</t>
  </si>
  <si>
    <t>bhajya and fruits</t>
  </si>
  <si>
    <t>idali pith</t>
  </si>
  <si>
    <t>Other</t>
  </si>
  <si>
    <t>petrol/transport</t>
  </si>
  <si>
    <t>Food/glosarry/home/guest</t>
  </si>
  <si>
    <t>Personal expense</t>
  </si>
  <si>
    <t>mobile recharge</t>
  </si>
  <si>
    <t>FC social</t>
  </si>
  <si>
    <t>FC social with friends</t>
  </si>
  <si>
    <t>sofa cleaning</t>
  </si>
  <si>
    <t>vada pav</t>
  </si>
  <si>
    <t>masla puri</t>
  </si>
  <si>
    <t>bharat to sukhsagar</t>
  </si>
  <si>
    <t>in healer</t>
  </si>
  <si>
    <t>sukhsagar to bharat natya</t>
  </si>
  <si>
    <t>and medicins</t>
  </si>
  <si>
    <t>Doctors fee</t>
  </si>
  <si>
    <t>wafers</t>
  </si>
  <si>
    <t>jio</t>
  </si>
  <si>
    <t>doctors fees and</t>
  </si>
  <si>
    <t>paratha</t>
  </si>
  <si>
    <t>2nd disbursment</t>
  </si>
  <si>
    <t>waxing</t>
  </si>
  <si>
    <t>aai and tai</t>
  </si>
  <si>
    <t>swain pair</t>
  </si>
  <si>
    <t>talking cactus</t>
  </si>
  <si>
    <t>arriars</t>
  </si>
  <si>
    <t>salary:62K</t>
  </si>
  <si>
    <t>tax cutting</t>
  </si>
  <si>
    <t>fruits</t>
  </si>
  <si>
    <t>veggies</t>
  </si>
  <si>
    <t>woolen</t>
  </si>
  <si>
    <t>khava</t>
  </si>
  <si>
    <t>Perfume</t>
  </si>
  <si>
    <t>Vitamin c and zin tablets</t>
  </si>
  <si>
    <t>tarbuj</t>
  </si>
  <si>
    <t>valentine's dinner</t>
  </si>
  <si>
    <t>Vi recharge</t>
  </si>
  <si>
    <t>anand's farewell</t>
  </si>
  <si>
    <t>kiwi and apples</t>
  </si>
  <si>
    <t>momos hospital visit</t>
  </si>
  <si>
    <t>pestry corner</t>
  </si>
  <si>
    <t>gift wrap</t>
  </si>
  <si>
    <t>ball</t>
  </si>
  <si>
    <t>helth checkup</t>
  </si>
  <si>
    <t>sangita mavshi</t>
  </si>
  <si>
    <t>pavankhind</t>
  </si>
  <si>
    <t>sahala for apeksha</t>
  </si>
  <si>
    <t>bhel, wafers, shev</t>
  </si>
  <si>
    <t>fruiti, dalimb, dahi</t>
  </si>
  <si>
    <t>panipuri+Khari patice</t>
  </si>
  <si>
    <t>finger cake</t>
  </si>
  <si>
    <t>leave incashment</t>
  </si>
  <si>
    <t>pasta, butter,cheese</t>
  </si>
  <si>
    <t>naral, chilliflacks, origano</t>
  </si>
  <si>
    <t>vi recharge</t>
  </si>
  <si>
    <t>mesan jar</t>
  </si>
  <si>
    <t>for msg</t>
  </si>
  <si>
    <t>investment/saving</t>
  </si>
  <si>
    <t>monthly EMI</t>
  </si>
  <si>
    <t>investment</t>
  </si>
  <si>
    <t>Investments</t>
  </si>
  <si>
    <t>Aai</t>
  </si>
  <si>
    <t>Monthly Emi</t>
  </si>
  <si>
    <t>massage</t>
  </si>
  <si>
    <t>gangubai kathiwadi</t>
  </si>
  <si>
    <t>brownee at the break room</t>
  </si>
  <si>
    <t>pizza with sonam and surabhi</t>
  </si>
  <si>
    <t>kivi ani shahala</t>
  </si>
  <si>
    <t>dipalis farewell</t>
  </si>
  <si>
    <t>mithai for tai-gav</t>
  </si>
  <si>
    <t>guruji-patrika</t>
  </si>
  <si>
    <t>Mutual:30K</t>
  </si>
  <si>
    <t>RD: 6000</t>
  </si>
  <si>
    <t>Mutual:20K</t>
  </si>
  <si>
    <t>till 31 jan</t>
  </si>
  <si>
    <t>bhajya</t>
  </si>
  <si>
    <t>sabja+dudh</t>
  </si>
  <si>
    <t xml:space="preserve">                                                                              </t>
  </si>
  <si>
    <t>gas cylinder</t>
  </si>
  <si>
    <t>kande batate protection cell</t>
  </si>
  <si>
    <t>shahala+misal+vadapav+ragda and msala puri</t>
  </si>
  <si>
    <t>firodia karandak</t>
  </si>
  <si>
    <t>yogi's head massage</t>
  </si>
  <si>
    <t>uber for yogi home to office</t>
  </si>
  <si>
    <t>jacket from myntra</t>
  </si>
  <si>
    <t>urbanic</t>
  </si>
  <si>
    <t>sling bag from teju tai</t>
  </si>
  <si>
    <t>vi</t>
  </si>
  <si>
    <t>the kashir files</t>
  </si>
  <si>
    <t>yogi's shopping bewacoof</t>
  </si>
  <si>
    <t>shopping for maldives urbanic</t>
  </si>
  <si>
    <t>shahala</t>
  </si>
  <si>
    <t>shevpav+panipuri</t>
  </si>
  <si>
    <t xml:space="preserve">ajinkya </t>
  </si>
  <si>
    <t>PPF</t>
  </si>
  <si>
    <t>bhaji</t>
  </si>
  <si>
    <t>bhajya,oats,khava, lal mirchi powder, salad, dudh</t>
  </si>
  <si>
    <t>RD: 15K</t>
  </si>
  <si>
    <t>RD: 18K</t>
  </si>
  <si>
    <t>Mutual:36K</t>
  </si>
  <si>
    <t>mangoes</t>
  </si>
  <si>
    <t>katraj to hinjwadi</t>
  </si>
  <si>
    <t>hinjwadi to Katraj</t>
  </si>
  <si>
    <t>sandles white</t>
  </si>
  <si>
    <t>bra panti</t>
  </si>
  <si>
    <t>pune to  mumbai maldives</t>
  </si>
  <si>
    <t>mumbai to pune</t>
  </si>
  <si>
    <t>Fc road maldives shopping</t>
  </si>
  <si>
    <t>waxing and cleanup</t>
  </si>
  <si>
    <t>ambe</t>
  </si>
  <si>
    <t>t shirt for shravu and khushi</t>
  </si>
  <si>
    <t xml:space="preserve">bhajya ani fala </t>
  </si>
  <si>
    <t>dudh</t>
  </si>
  <si>
    <t>cake for teju tai anniversary</t>
  </si>
  <si>
    <t>yogi gave me 20K back from 50 K</t>
  </si>
  <si>
    <t>30 remaining</t>
  </si>
  <si>
    <t>VI</t>
  </si>
  <si>
    <t>kande</t>
  </si>
  <si>
    <t>bread, naral</t>
  </si>
  <si>
    <t>maldives</t>
  </si>
  <si>
    <t>mango  mastani</t>
  </si>
  <si>
    <t>mobile reimmbersment 20K</t>
  </si>
  <si>
    <t>RD: 21K</t>
  </si>
  <si>
    <t>Mutual:42K</t>
  </si>
  <si>
    <t>yogis medicines</t>
  </si>
  <si>
    <t>unposted letter</t>
  </si>
  <si>
    <t>baby wrap for himanshu</t>
  </si>
  <si>
    <t>nailpaint and sticky notes</t>
  </si>
  <si>
    <t>shahala for yogi</t>
  </si>
  <si>
    <t>dalan</t>
  </si>
  <si>
    <t>kande batate+phala+gluconD and prega news</t>
  </si>
  <si>
    <t>10K back from yogi</t>
  </si>
  <si>
    <t>yogi office and office to home</t>
  </si>
  <si>
    <t>usacha ras</t>
  </si>
  <si>
    <t>kaju kadam ladu</t>
  </si>
  <si>
    <t>albatya galbatya</t>
  </si>
  <si>
    <t>akash chi patrika</t>
  </si>
  <si>
    <t>yogi mobile CC</t>
  </si>
  <si>
    <t>panni bottle</t>
  </si>
  <si>
    <t>anu anishka snacks for natak</t>
  </si>
  <si>
    <t>remaining</t>
  </si>
  <si>
    <t xml:space="preserve"> Tai</t>
  </si>
  <si>
    <t>: 50K</t>
  </si>
  <si>
    <t>ice cream</t>
  </si>
  <si>
    <t>panipuri+bhel for mothers day</t>
  </si>
  <si>
    <t>burger for  me (in mavshi's absence)</t>
  </si>
  <si>
    <t>gajara</t>
  </si>
  <si>
    <t>mobile cc</t>
  </si>
  <si>
    <t>Sukhsagar to nigadi</t>
  </si>
  <si>
    <t>Waxing</t>
  </si>
  <si>
    <t>dinner at nigdi parcel chinese</t>
  </si>
  <si>
    <t>aambe</t>
  </si>
  <si>
    <t>Vi</t>
  </si>
  <si>
    <t>aai jio</t>
  </si>
  <si>
    <t>pizza for shravu</t>
  </si>
  <si>
    <t>baskin robbin for yogi</t>
  </si>
  <si>
    <t>usacha ras home</t>
  </si>
  <si>
    <t>fruits for (bhore) home</t>
  </si>
  <si>
    <t>bhaji+kalingad</t>
  </si>
  <si>
    <t>udemy</t>
  </si>
  <si>
    <t>Della adventures</t>
  </si>
  <si>
    <t>cash to yogi</t>
  </si>
  <si>
    <t>RD: 24K</t>
  </si>
  <si>
    <t>Mutual:48K</t>
  </si>
  <si>
    <t xml:space="preserve"> Clear</t>
  </si>
  <si>
    <t>punacchya honeymoon</t>
  </si>
  <si>
    <t>fala</t>
  </si>
  <si>
    <t>nivia soft+powder+jambhul</t>
  </si>
  <si>
    <t>frozen bottle</t>
  </si>
  <si>
    <t>momos</t>
  </si>
  <si>
    <t>kali maina</t>
  </si>
  <si>
    <t>case paper at bharti</t>
  </si>
  <si>
    <t>panchakarma tup</t>
  </si>
  <si>
    <t>café peter</t>
  </si>
  <si>
    <t>ghadyal repaire</t>
  </si>
  <si>
    <t>blood report</t>
  </si>
  <si>
    <t>laptop repair</t>
  </si>
  <si>
    <t>jiio</t>
  </si>
  <si>
    <t>chole bhature</t>
  </si>
  <si>
    <t>Driving class</t>
  </si>
  <si>
    <t xml:space="preserve">bhaji </t>
  </si>
  <si>
    <t>gulabjaam</t>
  </si>
  <si>
    <t>inners and night suit</t>
  </si>
  <si>
    <t>screen guard fro yogesh</t>
  </si>
  <si>
    <t>urban clap</t>
  </si>
  <si>
    <t>lotus cream</t>
  </si>
  <si>
    <t>Yogesh case paper</t>
  </si>
  <si>
    <t>tup amd panchakarma medicins for yogi</t>
  </si>
  <si>
    <t>my medicins</t>
  </si>
  <si>
    <t>virechan cost</t>
  </si>
  <si>
    <t>Ekaant retreat booking</t>
  </si>
  <si>
    <t>piggy bank</t>
  </si>
  <si>
    <t>ayansh bday gift</t>
  </si>
  <si>
    <t>menstrual cup</t>
  </si>
  <si>
    <t>pads</t>
  </si>
  <si>
    <t>jyotis wedding contri</t>
  </si>
  <si>
    <t>Time management course</t>
  </si>
  <si>
    <t>mobile reimmbersment</t>
  </si>
  <si>
    <t>20K</t>
  </si>
  <si>
    <t xml:space="preserve"> aai</t>
  </si>
  <si>
    <t>Yogi: anniversary gift</t>
  </si>
  <si>
    <t>RD: 27K</t>
  </si>
  <si>
    <t>Mutual:54K</t>
  </si>
  <si>
    <t>Yogi panchkarma</t>
  </si>
  <si>
    <t>dinner with drinks</t>
  </si>
  <si>
    <t xml:space="preserve">Learning License </t>
  </si>
  <si>
    <t>Rto to home</t>
  </si>
  <si>
    <t>home to RTO</t>
  </si>
  <si>
    <t>ITR fees</t>
  </si>
  <si>
    <t>nayan chya mulicha bday</t>
  </si>
  <si>
    <t>Yogesh LIC</t>
  </si>
  <si>
    <t>dinner with emtecian</t>
  </si>
  <si>
    <t>tup gawawrun</t>
  </si>
  <si>
    <t>ITR</t>
  </si>
  <si>
    <t>RD: 30K</t>
  </si>
  <si>
    <t>Mutual:60K</t>
  </si>
  <si>
    <t>Medicines for me and yogi</t>
  </si>
  <si>
    <t>Vala and chandichi wati for mayuri's kids</t>
  </si>
  <si>
    <t>Sandwitch</t>
  </si>
  <si>
    <t>masala puri</t>
  </si>
  <si>
    <t>urbanc company</t>
  </si>
  <si>
    <t xml:space="preserve">Mobile </t>
  </si>
  <si>
    <t>cc</t>
  </si>
  <si>
    <t xml:space="preserve">one piece for anniversary </t>
  </si>
  <si>
    <t>Relax pavbhaji, momos for yogi</t>
  </si>
  <si>
    <t>haircut</t>
  </si>
  <si>
    <t>Rakshabandhan gift for girls</t>
  </si>
  <si>
    <t>momos on anniversary</t>
  </si>
  <si>
    <t>Yogi gave 15K back</t>
  </si>
  <si>
    <t>Parya la help+rent</t>
  </si>
  <si>
    <t>3bhk Emi paid by yogi</t>
  </si>
  <si>
    <t>bhaji+rakhi_sckech pens</t>
  </si>
  <si>
    <t>dentist fees</t>
  </si>
  <si>
    <t>medicines</t>
  </si>
  <si>
    <t>preeti didi office</t>
  </si>
  <si>
    <t>dress ulter</t>
  </si>
  <si>
    <t>license kadhne</t>
  </si>
  <si>
    <t>mayurichya poranch barsa</t>
  </si>
  <si>
    <t>fries at city pride</t>
  </si>
  <si>
    <t>teju tainchya ghari pooja</t>
  </si>
  <si>
    <t>wafers, bhel, chocolate</t>
  </si>
  <si>
    <t>yogi bday gift</t>
  </si>
  <si>
    <t>khabia doctor</t>
  </si>
  <si>
    <t>yogesh gave 5k back</t>
  </si>
  <si>
    <t>Parya la help</t>
  </si>
  <si>
    <t>bread, cheese, kakdi</t>
  </si>
  <si>
    <t>RD: 33K</t>
  </si>
  <si>
    <t>Mutual:66K</t>
  </si>
  <si>
    <t>silver bowl</t>
  </si>
  <si>
    <t>yogesh gave 4300 to school on my behalf</t>
  </si>
  <si>
    <t>school donation</t>
  </si>
  <si>
    <t>anishka and kalpana aaich bday gift_maza duppata</t>
  </si>
  <si>
    <t>urban clap sofa cleaning</t>
  </si>
  <si>
    <t>ajinkya gave 10 K back</t>
  </si>
  <si>
    <t>yogi's gym membership</t>
  </si>
  <si>
    <t>ganpati prasad, bday pestry, keliche wafers</t>
  </si>
  <si>
    <t>namkin papdi, alu bhujia,gift wrap, chikki, tissu paper</t>
  </si>
  <si>
    <t>seasons mall: Burgerking</t>
  </si>
  <si>
    <t>bday: Pinsa</t>
  </si>
  <si>
    <t>yogi gave 8K back</t>
  </si>
  <si>
    <t>satya narayan pooja</t>
  </si>
  <si>
    <t>keli ani naral</t>
  </si>
  <si>
    <t>naral</t>
  </si>
  <si>
    <t>dress alter</t>
  </si>
  <si>
    <t>yogi gave 5K back</t>
  </si>
  <si>
    <t>thalipeeth purushottam</t>
  </si>
  <si>
    <t xml:space="preserve">purushottam tickets </t>
  </si>
  <si>
    <t>Feng shui statues</t>
  </si>
  <si>
    <t>Kumar pacific shopping</t>
  </si>
  <si>
    <t>2 shirt 1 kurti</t>
  </si>
  <si>
    <t>pestry from home and ishu</t>
  </si>
  <si>
    <t>perume and face masks</t>
  </si>
  <si>
    <t>momos and ragda puri for yogi</t>
  </si>
  <si>
    <t xml:space="preserve">Cybage </t>
  </si>
  <si>
    <t>bhajya ani fala</t>
  </si>
  <si>
    <t>Udemy course</t>
  </si>
  <si>
    <t>mask</t>
  </si>
  <si>
    <t>panipuri</t>
  </si>
  <si>
    <t>7 chakra tree, wind chime</t>
  </si>
  <si>
    <t>kamdhenu, turtle 2</t>
  </si>
  <si>
    <t>owl, buddha 2</t>
  </si>
  <si>
    <t>kanatle zumke</t>
  </si>
  <si>
    <t>dentist fees (tooth cleaning)</t>
  </si>
  <si>
    <t>medicines, deo,brush, mouth wash</t>
  </si>
  <si>
    <t>RD: 36K</t>
  </si>
  <si>
    <t>Mutual:72K</t>
  </si>
  <si>
    <t>Kumar pacific pakring</t>
  </si>
  <si>
    <t>Office footwear</t>
  </si>
  <si>
    <t>bowling at seasons</t>
  </si>
  <si>
    <t>saree for diwali Me+ Mavshi</t>
  </si>
  <si>
    <t>Charchoughi natak</t>
  </si>
  <si>
    <t>Aai la diwali dress</t>
  </si>
  <si>
    <t>Momos and ice cream with aai</t>
  </si>
  <si>
    <t>chappal from myntra</t>
  </si>
  <si>
    <t>lunch with vitians friends</t>
  </si>
  <si>
    <t>yogi's basti</t>
  </si>
  <si>
    <t>lohara ticket</t>
  </si>
  <si>
    <t>galyatla for diwali</t>
  </si>
  <si>
    <t>galyatla oxidize mavshi</t>
  </si>
  <si>
    <t>Kojagiri oli bhel</t>
  </si>
  <si>
    <t>shravu+Khushi</t>
  </si>
  <si>
    <t>mothi aai</t>
  </si>
  <si>
    <t>gav: Mithai</t>
  </si>
  <si>
    <t>Dasara fula</t>
  </si>
  <si>
    <t>kata kirr</t>
  </si>
  <si>
    <t>Cybage Asha new cloth donation for orphanage</t>
  </si>
  <si>
    <t>eggs, butter, bread, cheese, sprite, lemons, pudina</t>
  </si>
  <si>
    <t>kolhapur che mama</t>
  </si>
  <si>
    <t>dakshina</t>
  </si>
  <si>
    <t>pavbhaji saman</t>
  </si>
  <si>
    <t>blouse diwali</t>
  </si>
  <si>
    <t>kajukatli for laxmipujan</t>
  </si>
  <si>
    <t>anu anishkas ishus diwali</t>
  </si>
  <si>
    <t>gift</t>
  </si>
  <si>
    <t>voot subscription</t>
  </si>
  <si>
    <t>Adimanav</t>
  </si>
  <si>
    <t>atlas copco to shankarmath math</t>
  </si>
  <si>
    <t>swargate to sukhsagar (gavavarun alaywer)</t>
  </si>
  <si>
    <t xml:space="preserve"> </t>
  </si>
  <si>
    <t>fall pico</t>
  </si>
  <si>
    <t>chain baswaychi blouse</t>
  </si>
  <si>
    <t>RD: 39K</t>
  </si>
  <si>
    <t>vaishali mavshi</t>
  </si>
  <si>
    <t>yogesh 3 BHK</t>
  </si>
  <si>
    <t>yogesh , akash, dadyas diwali gift</t>
  </si>
  <si>
    <t>faluda, masala puri, cake</t>
  </si>
  <si>
    <t>magic show with shravu</t>
  </si>
  <si>
    <t>kantara</t>
  </si>
  <si>
    <t>Pizza for shravu and home</t>
  </si>
  <si>
    <t>Khushi bday gift</t>
  </si>
  <si>
    <t>bhaji+fala</t>
  </si>
  <si>
    <t>manali flight booking</t>
  </si>
  <si>
    <t>yogesh</t>
  </si>
  <si>
    <t>manali</t>
  </si>
  <si>
    <t>hotel booking</t>
  </si>
  <si>
    <t>urban company</t>
  </si>
  <si>
    <t>jackets fc road</t>
  </si>
  <si>
    <t>Amazon prime membership</t>
  </si>
  <si>
    <t>saree shapewear</t>
  </si>
  <si>
    <t>bracelates</t>
  </si>
  <si>
    <t>hairclucher for mom</t>
  </si>
  <si>
    <t>winter jacket</t>
  </si>
  <si>
    <t>Office</t>
  </si>
  <si>
    <t>hormon test</t>
  </si>
  <si>
    <t>Coffee mugs</t>
  </si>
  <si>
    <t>tiffin box</t>
  </si>
  <si>
    <t>unchai movie</t>
  </si>
  <si>
    <t>naral ani pencil cell</t>
  </si>
  <si>
    <t>dharmesh contry</t>
  </si>
  <si>
    <t>spa</t>
  </si>
  <si>
    <t>winter cap for yogi</t>
  </si>
  <si>
    <t>maflar and hand gloves for yogi</t>
  </si>
  <si>
    <t>lipsticks from nykaa</t>
  </si>
  <si>
    <t>udemy subscription</t>
  </si>
  <si>
    <t>chiku</t>
  </si>
  <si>
    <t>Manali hotel booking</t>
  </si>
  <si>
    <t>thermals for me</t>
  </si>
  <si>
    <t>Rupali</t>
  </si>
  <si>
    <t>Yogesh</t>
  </si>
  <si>
    <t>thermal socks for both</t>
  </si>
  <si>
    <t>cap and ear muff for me</t>
  </si>
  <si>
    <t>dress for rupali</t>
  </si>
  <si>
    <t>Flight</t>
  </si>
  <si>
    <t>badminton kit</t>
  </si>
  <si>
    <t>dw watch</t>
  </si>
  <si>
    <t>myntra jacket</t>
  </si>
  <si>
    <t>sinhagad lunch</t>
  </si>
  <si>
    <t xml:space="preserve">panipuri </t>
  </si>
  <si>
    <t>office</t>
  </si>
  <si>
    <t>RD: 42K</t>
  </si>
  <si>
    <t xml:space="preserve">remaining </t>
  </si>
  <si>
    <t>Mutual:78K</t>
  </si>
  <si>
    <t>Mutual:84K</t>
  </si>
  <si>
    <t xml:space="preserve">yogesh mobile </t>
  </si>
  <si>
    <t>lended</t>
  </si>
  <si>
    <t>one plus 7rt</t>
  </si>
  <si>
    <t>debit card anual fee</t>
  </si>
  <si>
    <t>addya mangalesutra</t>
  </si>
  <si>
    <t>panties</t>
  </si>
  <si>
    <t>ishu: Dhokala,cadbury, bor</t>
  </si>
  <si>
    <t>straberry</t>
  </si>
  <si>
    <t>top at manali</t>
  </si>
  <si>
    <t>anu cha bday tshirt</t>
  </si>
  <si>
    <t>home to airport</t>
  </si>
  <si>
    <t>handloom kurta for me</t>
  </si>
  <si>
    <t>vodka</t>
  </si>
  <si>
    <t>solang valley</t>
  </si>
  <si>
    <t>costume and boot on rent</t>
  </si>
  <si>
    <t>anu's kurta</t>
  </si>
  <si>
    <t>yogesh's reversible jacket</t>
  </si>
  <si>
    <t>paragliding video</t>
  </si>
  <si>
    <t>hotel remaining amount</t>
  </si>
  <si>
    <t>home to airport uber</t>
  </si>
  <si>
    <t>paragliding</t>
  </si>
  <si>
    <t>river rafting</t>
  </si>
  <si>
    <t>softy</t>
  </si>
  <si>
    <t>haweli lunch</t>
  </si>
  <si>
    <t xml:space="preserve">burger king </t>
  </si>
  <si>
    <t>airport to home cab</t>
  </si>
  <si>
    <t>shopping</t>
  </si>
  <si>
    <t>day1 nashta</t>
  </si>
  <si>
    <t>day2 lunch</t>
  </si>
  <si>
    <t>chakana</t>
  </si>
  <si>
    <t>day 3 nashta</t>
  </si>
  <si>
    <t>approx</t>
  </si>
  <si>
    <t>secret santa gift maflar</t>
  </si>
  <si>
    <t>finger cake, shrikhand, panipurichya poorya</t>
  </si>
  <si>
    <t>jilebi, khava, naral, maida</t>
  </si>
  <si>
    <t>apples</t>
  </si>
  <si>
    <t>revenu stamps</t>
  </si>
  <si>
    <t>total:</t>
  </si>
  <si>
    <t>library</t>
  </si>
  <si>
    <t>dinner with vitians</t>
  </si>
  <si>
    <t>badminton</t>
  </si>
  <si>
    <t>belgium flight ticket</t>
  </si>
  <si>
    <t>travel insurance</t>
  </si>
  <si>
    <t>office birthday contri</t>
  </si>
  <si>
    <t>ticket</t>
  </si>
  <si>
    <t>vada pav for teju tai</t>
  </si>
  <si>
    <t>home to katraj</t>
  </si>
  <si>
    <t>akshaycha lagna</t>
  </si>
  <si>
    <t>bhaji n fruits</t>
  </si>
  <si>
    <t>kurta ulter+blouse chain basawli</t>
  </si>
  <si>
    <t>khari pattice bhore home</t>
  </si>
  <si>
    <t>vadapav home bhore</t>
  </si>
  <si>
    <t>e cash card topup</t>
  </si>
  <si>
    <t>yoga classes</t>
  </si>
  <si>
    <t>eggs+mug+chavali</t>
  </si>
  <si>
    <t>fruits+shahla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</si>
</sst>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Jan!$B$32:$M$32</c:f>
              <c:numCache>
                <c:formatCode>General</c:formatCode>
                <c:ptCount val="12"/>
                <c:pt idx="0">
                  <c:v>15040</c:v>
                </c:pt>
                <c:pt idx="2">
                  <c:v>25850</c:v>
                </c:pt>
                <c:pt idx="3">
                  <c:v>496</c:v>
                </c:pt>
                <c:pt idx="5">
                  <c:v>724</c:v>
                </c:pt>
                <c:pt idx="9">
                  <c:v>3371</c:v>
                </c:pt>
                <c:pt idx="11">
                  <c:v>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1-4D8F-B193-17BB9395C5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71274800"/>
        <c:axId val="671266096"/>
        <c:axId val="0"/>
      </c:bar3DChart>
      <c:catAx>
        <c:axId val="67127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66096"/>
        <c:crosses val="autoZero"/>
        <c:auto val="1"/>
        <c:lblAlgn val="ctr"/>
        <c:lblOffset val="100"/>
        <c:noMultiLvlLbl val="0"/>
      </c:catAx>
      <c:valAx>
        <c:axId val="671266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127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4.5140711577719437E-3"/>
          <c:w val="0.93888888888888888"/>
          <c:h val="0.6982717264508603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Feb!$B$30:$M$30</c:f>
              <c:numCache>
                <c:formatCode>General</c:formatCode>
                <c:ptCount val="12"/>
                <c:pt idx="0">
                  <c:v>15040</c:v>
                </c:pt>
                <c:pt idx="2">
                  <c:v>20150</c:v>
                </c:pt>
                <c:pt idx="3">
                  <c:v>300</c:v>
                </c:pt>
                <c:pt idx="5">
                  <c:v>3784</c:v>
                </c:pt>
                <c:pt idx="7">
                  <c:v>2522</c:v>
                </c:pt>
                <c:pt idx="9">
                  <c:v>3439</c:v>
                </c:pt>
                <c:pt idx="11">
                  <c:v>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83D-A092-642264D61A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71273168"/>
        <c:axId val="671276976"/>
        <c:axId val="0"/>
      </c:bar3DChart>
      <c:catAx>
        <c:axId val="671273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76976"/>
        <c:crosses val="autoZero"/>
        <c:auto val="1"/>
        <c:lblAlgn val="ctr"/>
        <c:lblOffset val="100"/>
        <c:noMultiLvlLbl val="0"/>
      </c:catAx>
      <c:valAx>
        <c:axId val="671276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127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March!$B$32:$M$32</c:f>
              <c:numCache>
                <c:formatCode>General</c:formatCode>
                <c:ptCount val="12"/>
                <c:pt idx="0">
                  <c:v>15040</c:v>
                </c:pt>
                <c:pt idx="2">
                  <c:v>30440</c:v>
                </c:pt>
                <c:pt idx="5">
                  <c:v>5595</c:v>
                </c:pt>
                <c:pt idx="7">
                  <c:v>9371</c:v>
                </c:pt>
                <c:pt idx="9">
                  <c:v>6188</c:v>
                </c:pt>
                <c:pt idx="11">
                  <c:v>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2-44F1-B18D-DF9314CE3D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41648"/>
        <c:axId val="735137840"/>
        <c:axId val="0"/>
      </c:bar3DChart>
      <c:catAx>
        <c:axId val="73514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37840"/>
        <c:crosses val="autoZero"/>
        <c:auto val="1"/>
        <c:lblAlgn val="ctr"/>
        <c:lblOffset val="100"/>
        <c:noMultiLvlLbl val="0"/>
      </c:catAx>
      <c:valAx>
        <c:axId val="735137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4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April!$B$32:$M$32</c:f>
              <c:numCache>
                <c:formatCode>General</c:formatCode>
                <c:ptCount val="12"/>
                <c:pt idx="0">
                  <c:v>20040</c:v>
                </c:pt>
                <c:pt idx="2">
                  <c:v>34450</c:v>
                </c:pt>
                <c:pt idx="3">
                  <c:v>6976</c:v>
                </c:pt>
                <c:pt idx="5">
                  <c:v>2556</c:v>
                </c:pt>
                <c:pt idx="7">
                  <c:v>4579</c:v>
                </c:pt>
                <c:pt idx="9">
                  <c:v>2735</c:v>
                </c:pt>
                <c:pt idx="11">
                  <c:v>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C-43DA-95BF-F7EE03422D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36208"/>
        <c:axId val="735137296"/>
        <c:axId val="0"/>
      </c:bar3DChart>
      <c:catAx>
        <c:axId val="735136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37296"/>
        <c:crosses val="autoZero"/>
        <c:auto val="1"/>
        <c:lblAlgn val="ctr"/>
        <c:lblOffset val="100"/>
        <c:noMultiLvlLbl val="0"/>
      </c:catAx>
      <c:valAx>
        <c:axId val="735137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3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788791449291569E-3"/>
          <c:w val="0.91666666666666663"/>
          <c:h val="0.5462255130929433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May!$B$32:$M$32</c:f>
              <c:numCache>
                <c:formatCode>General</c:formatCode>
                <c:ptCount val="12"/>
                <c:pt idx="0">
                  <c:v>18040</c:v>
                </c:pt>
                <c:pt idx="2">
                  <c:v>35333</c:v>
                </c:pt>
                <c:pt idx="3">
                  <c:v>1284</c:v>
                </c:pt>
                <c:pt idx="5">
                  <c:v>5909</c:v>
                </c:pt>
                <c:pt idx="7">
                  <c:v>8495</c:v>
                </c:pt>
                <c:pt idx="9">
                  <c:v>3931</c:v>
                </c:pt>
                <c:pt idx="11">
                  <c:v>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C-449D-8946-8B1556F17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38928"/>
        <c:axId val="735138384"/>
        <c:axId val="0"/>
      </c:bar3DChart>
      <c:catAx>
        <c:axId val="73513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38384"/>
        <c:crosses val="autoZero"/>
        <c:auto val="1"/>
        <c:lblAlgn val="ctr"/>
        <c:lblOffset val="100"/>
        <c:noMultiLvlLbl val="0"/>
      </c:catAx>
      <c:valAx>
        <c:axId val="7351383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3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June!$B$31:$M$31</c:f>
              <c:numCache>
                <c:formatCode>General</c:formatCode>
                <c:ptCount val="12"/>
                <c:pt idx="0">
                  <c:v>18040</c:v>
                </c:pt>
                <c:pt idx="2">
                  <c:v>17796</c:v>
                </c:pt>
                <c:pt idx="3">
                  <c:v>380</c:v>
                </c:pt>
                <c:pt idx="5">
                  <c:v>1184</c:v>
                </c:pt>
                <c:pt idx="7">
                  <c:v>11381</c:v>
                </c:pt>
                <c:pt idx="9">
                  <c:v>5058</c:v>
                </c:pt>
                <c:pt idx="11">
                  <c:v>16759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4-4C9F-80E3-01A58BAA73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46000"/>
        <c:axId val="735142736"/>
        <c:axId val="0"/>
      </c:bar3DChart>
      <c:catAx>
        <c:axId val="735146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42736"/>
        <c:crosses val="autoZero"/>
        <c:auto val="1"/>
        <c:lblAlgn val="ctr"/>
        <c:lblOffset val="100"/>
        <c:noMultiLvlLbl val="0"/>
      </c:catAx>
      <c:valAx>
        <c:axId val="7351427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4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July!$B$33:$M$33</c:f>
              <c:numCache>
                <c:formatCode>General</c:formatCode>
                <c:ptCount val="12"/>
                <c:pt idx="0">
                  <c:v>70416</c:v>
                </c:pt>
                <c:pt idx="2">
                  <c:v>39274</c:v>
                </c:pt>
                <c:pt idx="3">
                  <c:v>1066</c:v>
                </c:pt>
                <c:pt idx="5">
                  <c:v>8367</c:v>
                </c:pt>
                <c:pt idx="7">
                  <c:v>273</c:v>
                </c:pt>
                <c:pt idx="9">
                  <c:v>7500</c:v>
                </c:pt>
                <c:pt idx="11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9-4DAF-9282-2CC57AA3F0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50896"/>
        <c:axId val="735148176"/>
        <c:axId val="0"/>
      </c:bar3DChart>
      <c:catAx>
        <c:axId val="735150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48176"/>
        <c:crosses val="autoZero"/>
        <c:auto val="1"/>
        <c:lblAlgn val="ctr"/>
        <c:lblOffset val="100"/>
        <c:noMultiLvlLbl val="0"/>
      </c:catAx>
      <c:valAx>
        <c:axId val="735148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5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187350047501731E-2"/>
          <c:y val="1.107025560084688E-2"/>
          <c:w val="0.92341166231505656"/>
          <c:h val="0.798685647433128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Sept!$B$32:$M$32</c:f>
              <c:numCache>
                <c:formatCode>General</c:formatCode>
                <c:ptCount val="12"/>
                <c:pt idx="0">
                  <c:v>18040</c:v>
                </c:pt>
                <c:pt idx="2">
                  <c:v>2750</c:v>
                </c:pt>
                <c:pt idx="3">
                  <c:v>937</c:v>
                </c:pt>
                <c:pt idx="5">
                  <c:v>3358</c:v>
                </c:pt>
                <c:pt idx="7">
                  <c:v>10798</c:v>
                </c:pt>
                <c:pt idx="9">
                  <c:v>8337</c:v>
                </c:pt>
                <c:pt idx="11">
                  <c:v>2762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4-4435-8698-0A5D45C9F2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44912"/>
        <c:axId val="735140016"/>
        <c:axId val="0"/>
      </c:bar3DChart>
      <c:catAx>
        <c:axId val="73514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40016"/>
        <c:crosses val="autoZero"/>
        <c:auto val="1"/>
        <c:lblAlgn val="ctr"/>
        <c:lblOffset val="100"/>
        <c:noMultiLvlLbl val="0"/>
      </c:catAx>
      <c:valAx>
        <c:axId val="735140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4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Oct!$B$33:$M$33</c:f>
              <c:numCache>
                <c:formatCode>General</c:formatCode>
                <c:ptCount val="12"/>
                <c:pt idx="0">
                  <c:v>18040</c:v>
                </c:pt>
                <c:pt idx="2">
                  <c:v>2650</c:v>
                </c:pt>
                <c:pt idx="3">
                  <c:v>683</c:v>
                </c:pt>
                <c:pt idx="5">
                  <c:v>2944</c:v>
                </c:pt>
                <c:pt idx="7">
                  <c:v>4167</c:v>
                </c:pt>
                <c:pt idx="9">
                  <c:v>14314</c:v>
                </c:pt>
                <c:pt idx="11">
                  <c:v>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E-47D8-83BC-503AA7E12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35144368"/>
        <c:axId val="735145456"/>
        <c:axId val="0"/>
      </c:bar3DChart>
      <c:catAx>
        <c:axId val="735144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145456"/>
        <c:crosses val="autoZero"/>
        <c:auto val="1"/>
        <c:lblAlgn val="ctr"/>
        <c:lblOffset val="100"/>
        <c:noMultiLvlLbl val="0"/>
      </c:catAx>
      <c:valAx>
        <c:axId val="735145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3514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1057275</xdr:colOff>
      <xdr:row>9</xdr:row>
      <xdr:rowOff>28575</xdr:rowOff>
    </xdr:from>
    <xdr:to>
      <xdr:col>4</xdr:col>
      <xdr:colOff>609600</xdr:colOff>
      <xdr:row>19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6</xdr:row>
      <xdr:rowOff>114300</xdr:rowOff>
    </xdr:from>
    <xdr:to>
      <xdr:col>4</xdr:col>
      <xdr:colOff>466726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</xdr:row>
      <xdr:rowOff>114300</xdr:rowOff>
    </xdr:from>
    <xdr:to>
      <xdr:col>4</xdr:col>
      <xdr:colOff>0</xdr:colOff>
      <xdr:row>29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F0F178-44A5-DD32-FD32-F2289A18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1038225</xdr:colOff>
      <xdr:row>14</xdr:row>
      <xdr:rowOff>104775</xdr:rowOff>
    </xdr:from>
    <xdr:to>
      <xdr:col>4</xdr:col>
      <xdr:colOff>219075</xdr:colOff>
      <xdr:row>24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9D10F4-ABD1-4CC1-A767-8258EDD7A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314324</xdr:colOff>
      <xdr:row>13</xdr:row>
      <xdr:rowOff>28575</xdr:rowOff>
    </xdr:from>
    <xdr:to>
      <xdr:col>3</xdr:col>
      <xdr:colOff>247649</xdr:colOff>
      <xdr:row>23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A0F8C-AB49-46BE-BD7F-6DFFCBBB0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14</xdr:row>
      <xdr:rowOff>47624</xdr:rowOff>
    </xdr:from>
    <xdr:to>
      <xdr:col>4</xdr:col>
      <xdr:colOff>457200</xdr:colOff>
      <xdr:row>24</xdr:row>
      <xdr:rowOff>4761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3A221-606E-E5BF-577A-A44E276A3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1323976</xdr:colOff>
      <xdr:row>20</xdr:row>
      <xdr:rowOff>19051</xdr:rowOff>
    </xdr:from>
    <xdr:to>
      <xdr:col>3</xdr:col>
      <xdr:colOff>600075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0D8AFA-1AE1-F8E7-0D11-155C46EE7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</xdr:colOff>
      <xdr:row>18</xdr:row>
      <xdr:rowOff>142875</xdr:rowOff>
    </xdr:from>
    <xdr:to>
      <xdr:col>16</xdr:col>
      <xdr:colOff>485776</xdr:colOff>
      <xdr:row>28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41237-F09C-4A88-BB16-EBB54C065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18</xdr:row>
      <xdr:rowOff>9525</xdr:rowOff>
    </xdr:from>
    <xdr:to>
      <xdr:col>2</xdr:col>
      <xdr:colOff>1057275</xdr:colOff>
      <xdr:row>29</xdr:row>
      <xdr:rowOff>176211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C5FBA-5DF7-FF86-AD5F-B493694A3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opLeftCell="D1" workbookViewId="0">
      <selection activeCell="D3" sqref="D3"/>
    </sheetView>
  </sheetViews>
  <sheetFormatPr defaultRowHeight="15" x14ac:dyDescent="0.25"/>
  <cols>
    <col min="1" max="1" width="26" customWidth="1"/>
    <col min="2" max="2" width="9.140625" customWidth="1"/>
    <col min="3" max="3" width="18.5703125" customWidth="1"/>
    <col min="4" max="4" width="9.7109375" customWidth="1"/>
    <col min="5" max="5" width="14" customWidth="1"/>
    <col min="6" max="6" width="26.42578125" customWidth="1"/>
    <col min="7" max="7" width="9.5703125" customWidth="1"/>
    <col min="8" max="8" width="15.85546875" customWidth="1"/>
    <col min="10" max="10" width="16.85546875" customWidth="1"/>
    <col min="12" max="12" width="17.28515625" customWidth="1"/>
  </cols>
  <sheetData>
    <row r="1" spans="1:16" x14ac:dyDescent="0.25">
      <c r="A1" s="1" t="s">
        <v>71</v>
      </c>
      <c r="B1" s="1"/>
      <c r="C1" s="1" t="s">
        <v>72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F2" t="s">
        <v>10</v>
      </c>
      <c r="G2">
        <v>300</v>
      </c>
      <c r="J2" t="s">
        <v>3</v>
      </c>
      <c r="K2">
        <v>2500</v>
      </c>
      <c r="L2" t="s">
        <v>19</v>
      </c>
      <c r="M2">
        <v>149</v>
      </c>
    </row>
    <row r="3" spans="1:16" x14ac:dyDescent="0.25">
      <c r="A3" t="s">
        <v>4</v>
      </c>
      <c r="B3">
        <v>3000</v>
      </c>
      <c r="C3" t="s">
        <v>7</v>
      </c>
      <c r="D3">
        <f>17000+7500</f>
        <v>24500</v>
      </c>
      <c r="F3" t="s">
        <v>14</v>
      </c>
      <c r="G3">
        <v>50</v>
      </c>
      <c r="M3">
        <v>49</v>
      </c>
    </row>
    <row r="4" spans="1:16" x14ac:dyDescent="0.25">
      <c r="A4" t="s">
        <v>8</v>
      </c>
      <c r="B4">
        <v>7040</v>
      </c>
      <c r="C4" t="s">
        <v>5</v>
      </c>
      <c r="D4">
        <v>150</v>
      </c>
      <c r="O4" t="s">
        <v>1</v>
      </c>
    </row>
    <row r="5" spans="1:16" x14ac:dyDescent="0.25">
      <c r="A5" t="s">
        <v>9</v>
      </c>
      <c r="B5">
        <v>5000</v>
      </c>
      <c r="C5" t="s">
        <v>6</v>
      </c>
      <c r="D5">
        <v>1200</v>
      </c>
      <c r="L5" t="s">
        <v>20</v>
      </c>
      <c r="M5">
        <f>345+86</f>
        <v>431</v>
      </c>
      <c r="O5" t="s">
        <v>2</v>
      </c>
      <c r="P5">
        <v>1.25</v>
      </c>
    </row>
    <row r="6" spans="1:16" x14ac:dyDescent="0.25">
      <c r="F6" t="s">
        <v>13</v>
      </c>
      <c r="G6">
        <v>105</v>
      </c>
    </row>
    <row r="8" spans="1:16" x14ac:dyDescent="0.25">
      <c r="J8" t="s">
        <v>22</v>
      </c>
      <c r="K8">
        <v>386</v>
      </c>
    </row>
    <row r="9" spans="1:16" x14ac:dyDescent="0.25">
      <c r="A9" t="s">
        <v>21</v>
      </c>
      <c r="E9">
        <v>96</v>
      </c>
    </row>
    <row r="10" spans="1:16" x14ac:dyDescent="0.25">
      <c r="E10">
        <v>110</v>
      </c>
    </row>
    <row r="11" spans="1:16" x14ac:dyDescent="0.25">
      <c r="O11" t="s">
        <v>12</v>
      </c>
    </row>
    <row r="12" spans="1:16" x14ac:dyDescent="0.25">
      <c r="O12" t="s">
        <v>11</v>
      </c>
      <c r="P12">
        <v>7000</v>
      </c>
    </row>
    <row r="13" spans="1:16" x14ac:dyDescent="0.25">
      <c r="O13" t="s">
        <v>39</v>
      </c>
    </row>
    <row r="17" spans="1:17" x14ac:dyDescent="0.25">
      <c r="O17" t="s">
        <v>34</v>
      </c>
      <c r="Q17">
        <v>499950</v>
      </c>
    </row>
    <row r="19" spans="1:17" x14ac:dyDescent="0.25">
      <c r="J19" t="s">
        <v>7</v>
      </c>
    </row>
    <row r="20" spans="1:17" x14ac:dyDescent="0.25">
      <c r="A20" t="s">
        <v>25</v>
      </c>
      <c r="E20">
        <v>15</v>
      </c>
      <c r="F20" t="s">
        <v>23</v>
      </c>
      <c r="G20">
        <v>20</v>
      </c>
      <c r="J20" t="s">
        <v>26</v>
      </c>
      <c r="K20">
        <v>40</v>
      </c>
    </row>
    <row r="21" spans="1:17" x14ac:dyDescent="0.25">
      <c r="A21" t="s">
        <v>27</v>
      </c>
      <c r="E21">
        <v>112</v>
      </c>
      <c r="F21" t="s">
        <v>24</v>
      </c>
      <c r="G21">
        <v>40</v>
      </c>
      <c r="J21" t="s">
        <v>29</v>
      </c>
      <c r="K21">
        <v>150</v>
      </c>
    </row>
    <row r="22" spans="1:17" x14ac:dyDescent="0.25">
      <c r="A22" t="s">
        <v>25</v>
      </c>
      <c r="E22">
        <v>40</v>
      </c>
      <c r="J22" t="s">
        <v>28</v>
      </c>
      <c r="K22">
        <v>295</v>
      </c>
    </row>
    <row r="23" spans="1:17" x14ac:dyDescent="0.25">
      <c r="A23" t="s">
        <v>27</v>
      </c>
      <c r="E23">
        <v>108</v>
      </c>
    </row>
    <row r="24" spans="1:17" x14ac:dyDescent="0.25">
      <c r="A24" t="s">
        <v>25</v>
      </c>
      <c r="E24">
        <v>15</v>
      </c>
      <c r="F24" t="s">
        <v>30</v>
      </c>
      <c r="G24">
        <v>50</v>
      </c>
      <c r="L24" t="s">
        <v>31</v>
      </c>
      <c r="M24">
        <v>209</v>
      </c>
    </row>
    <row r="26" spans="1:17" x14ac:dyDescent="0.25">
      <c r="F26" t="s">
        <v>33</v>
      </c>
      <c r="G26">
        <v>159</v>
      </c>
      <c r="L26" t="s">
        <v>32</v>
      </c>
      <c r="M26">
        <v>300</v>
      </c>
    </row>
    <row r="32" spans="1:17" x14ac:dyDescent="0.25">
      <c r="B32">
        <f>SUM(B3:B31)</f>
        <v>15040</v>
      </c>
      <c r="D32">
        <f>SUM(D2:D31)</f>
        <v>25850</v>
      </c>
      <c r="E32">
        <f t="shared" ref="E32:G32" si="0">SUM(E2:E31)</f>
        <v>496</v>
      </c>
      <c r="G32">
        <f t="shared" si="0"/>
        <v>724</v>
      </c>
      <c r="K32">
        <f>SUM(K2:K31)</f>
        <v>3371</v>
      </c>
      <c r="M32">
        <f t="shared" ref="M32" si="1">SUM(M2:M31)</f>
        <v>1138</v>
      </c>
      <c r="N32" s="1">
        <f>SUM(B32:M32)</f>
        <v>46619</v>
      </c>
    </row>
    <row r="34" spans="1:1" x14ac:dyDescent="0.25">
      <c r="A34" t="s">
        <v>88</v>
      </c>
    </row>
    <row r="35" spans="1:1" x14ac:dyDescent="0.25">
      <c r="A35" t="s">
        <v>86</v>
      </c>
    </row>
    <row r="36" spans="1:1" x14ac:dyDescent="0.25">
      <c r="A36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opLeftCell="A16" workbookViewId="0">
      <selection activeCell="D3" sqref="D3"/>
    </sheetView>
  </sheetViews>
  <sheetFormatPr defaultRowHeight="15" x14ac:dyDescent="0.25"/>
  <cols>
    <col min="1" max="1" width="13.85546875" customWidth="1"/>
    <col min="2" max="2" width="14.85546875" customWidth="1"/>
    <col min="3" max="3" width="13.85546875" customWidth="1"/>
    <col min="4" max="4" width="10.140625" customWidth="1"/>
    <col min="5" max="5" width="17.85546875" customWidth="1"/>
    <col min="6" max="6" width="23.7109375" customWidth="1"/>
    <col min="8" max="8" width="16.5703125" customWidth="1"/>
    <col min="10" max="10" width="17.140625" customWidth="1"/>
    <col min="12" max="12" width="16.5703125" customWidth="1"/>
    <col min="15" max="15" width="18" customWidth="1"/>
  </cols>
  <sheetData>
    <row r="1" spans="1:16" x14ac:dyDescent="0.25">
      <c r="A1" s="1" t="s">
        <v>73</v>
      </c>
      <c r="B1" s="1"/>
      <c r="C1" s="1" t="s">
        <v>72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  <c r="O1" t="s">
        <v>40</v>
      </c>
      <c r="P1" t="s">
        <v>41</v>
      </c>
    </row>
    <row r="2" spans="1:16" x14ac:dyDescent="0.25">
      <c r="J2" t="s">
        <v>3</v>
      </c>
      <c r="K2">
        <v>2500</v>
      </c>
    </row>
    <row r="3" spans="1:16" x14ac:dyDescent="0.25">
      <c r="A3" t="s">
        <v>4</v>
      </c>
      <c r="B3">
        <v>3000</v>
      </c>
      <c r="C3" t="s">
        <v>7</v>
      </c>
      <c r="D3">
        <f>17000+3000</f>
        <v>20000</v>
      </c>
      <c r="L3" t="s">
        <v>35</v>
      </c>
      <c r="M3">
        <f>464+350</f>
        <v>814</v>
      </c>
      <c r="O3" t="s">
        <v>1</v>
      </c>
    </row>
    <row r="4" spans="1:16" x14ac:dyDescent="0.25">
      <c r="A4" t="s">
        <v>9</v>
      </c>
      <c r="B4">
        <v>5000</v>
      </c>
      <c r="C4" t="s">
        <v>5</v>
      </c>
      <c r="D4">
        <v>150</v>
      </c>
      <c r="L4" t="s">
        <v>36</v>
      </c>
      <c r="M4">
        <v>630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</row>
    <row r="6" spans="1:16" x14ac:dyDescent="0.25">
      <c r="F6" t="s">
        <v>43</v>
      </c>
      <c r="G6">
        <v>115</v>
      </c>
    </row>
    <row r="7" spans="1:16" x14ac:dyDescent="0.25">
      <c r="F7" t="s">
        <v>42</v>
      </c>
      <c r="G7">
        <v>110</v>
      </c>
      <c r="H7" t="s">
        <v>37</v>
      </c>
      <c r="I7">
        <v>1199</v>
      </c>
    </row>
    <row r="8" spans="1:16" x14ac:dyDescent="0.25">
      <c r="F8" t="s">
        <v>45</v>
      </c>
      <c r="G8">
        <v>24</v>
      </c>
      <c r="H8" t="s">
        <v>38</v>
      </c>
      <c r="I8">
        <v>849</v>
      </c>
      <c r="J8" t="s">
        <v>44</v>
      </c>
      <c r="K8">
        <v>112</v>
      </c>
    </row>
    <row r="10" spans="1:16" x14ac:dyDescent="0.25">
      <c r="O10" t="s">
        <v>12</v>
      </c>
    </row>
    <row r="11" spans="1:16" ht="30" x14ac:dyDescent="0.25">
      <c r="J11" s="2" t="s">
        <v>47</v>
      </c>
      <c r="K11">
        <v>64</v>
      </c>
      <c r="L11" t="s">
        <v>46</v>
      </c>
      <c r="M11">
        <v>250</v>
      </c>
      <c r="O11" t="s">
        <v>11</v>
      </c>
      <c r="P11">
        <v>7000</v>
      </c>
    </row>
    <row r="12" spans="1:16" x14ac:dyDescent="0.25">
      <c r="O12" t="s">
        <v>65</v>
      </c>
      <c r="P12">
        <v>10000</v>
      </c>
    </row>
    <row r="13" spans="1:16" x14ac:dyDescent="0.25">
      <c r="F13" t="s">
        <v>48</v>
      </c>
      <c r="G13">
        <v>40</v>
      </c>
    </row>
    <row r="14" spans="1:16" x14ac:dyDescent="0.25">
      <c r="F14" t="s">
        <v>49</v>
      </c>
      <c r="G14">
        <v>2189</v>
      </c>
    </row>
    <row r="15" spans="1:16" x14ac:dyDescent="0.25">
      <c r="F15" t="s">
        <v>52</v>
      </c>
      <c r="G15">
        <v>150</v>
      </c>
    </row>
    <row r="16" spans="1:16" x14ac:dyDescent="0.25">
      <c r="F16" t="s">
        <v>53</v>
      </c>
      <c r="G16">
        <v>226</v>
      </c>
      <c r="L16" t="s">
        <v>50</v>
      </c>
      <c r="M16">
        <v>99</v>
      </c>
    </row>
    <row r="17" spans="2:14" x14ac:dyDescent="0.25">
      <c r="F17" t="s">
        <v>54</v>
      </c>
      <c r="G17">
        <v>130</v>
      </c>
      <c r="J17" t="s">
        <v>51</v>
      </c>
      <c r="K17">
        <v>167</v>
      </c>
      <c r="L17" t="s">
        <v>31</v>
      </c>
      <c r="M17">
        <v>209</v>
      </c>
    </row>
    <row r="20" spans="2:14" x14ac:dyDescent="0.25">
      <c r="J20" t="s">
        <v>55</v>
      </c>
      <c r="K20">
        <v>15</v>
      </c>
      <c r="L20" t="s">
        <v>56</v>
      </c>
      <c r="M20">
        <v>40</v>
      </c>
    </row>
    <row r="21" spans="2:14" x14ac:dyDescent="0.25">
      <c r="F21" t="s">
        <v>60</v>
      </c>
      <c r="G21">
        <v>100</v>
      </c>
    </row>
    <row r="22" spans="2:14" x14ac:dyDescent="0.25">
      <c r="F22" t="s">
        <v>61</v>
      </c>
      <c r="G22">
        <f>20+20+40</f>
        <v>80</v>
      </c>
    </row>
    <row r="23" spans="2:14" x14ac:dyDescent="0.25">
      <c r="F23" t="s">
        <v>62</v>
      </c>
      <c r="G23">
        <f>50+30+10</f>
        <v>90</v>
      </c>
    </row>
    <row r="24" spans="2:14" x14ac:dyDescent="0.25">
      <c r="F24" t="s">
        <v>63</v>
      </c>
      <c r="G24">
        <f>20+64</f>
        <v>84</v>
      </c>
      <c r="L24" t="s">
        <v>57</v>
      </c>
      <c r="M24">
        <v>999</v>
      </c>
    </row>
    <row r="25" spans="2:14" x14ac:dyDescent="0.25">
      <c r="F25" t="s">
        <v>64</v>
      </c>
      <c r="G25">
        <v>72</v>
      </c>
    </row>
    <row r="26" spans="2:14" x14ac:dyDescent="0.25">
      <c r="E26">
        <v>300</v>
      </c>
      <c r="F26" t="s">
        <v>66</v>
      </c>
      <c r="G26">
        <f>25+110+60</f>
        <v>195</v>
      </c>
      <c r="J26" t="s">
        <v>59</v>
      </c>
      <c r="K26">
        <v>581</v>
      </c>
    </row>
    <row r="27" spans="2:14" x14ac:dyDescent="0.25">
      <c r="F27" t="s">
        <v>67</v>
      </c>
      <c r="G27">
        <f>25+65+89</f>
        <v>179</v>
      </c>
      <c r="L27" t="s">
        <v>68</v>
      </c>
      <c r="M27">
        <v>155</v>
      </c>
      <c r="N27" t="s">
        <v>70</v>
      </c>
    </row>
    <row r="28" spans="2:14" x14ac:dyDescent="0.25">
      <c r="H28" t="s">
        <v>69</v>
      </c>
      <c r="I28">
        <v>474</v>
      </c>
    </row>
    <row r="30" spans="2:14" x14ac:dyDescent="0.25">
      <c r="B30">
        <f>SUM(B2:B29)</f>
        <v>15040</v>
      </c>
      <c r="D30">
        <f>SUM(D2:D29)</f>
        <v>20150</v>
      </c>
      <c r="E30">
        <f t="shared" ref="E30:M30" si="0">SUM(E2:E29)</f>
        <v>300</v>
      </c>
      <c r="G30">
        <f t="shared" si="0"/>
        <v>3784</v>
      </c>
      <c r="I30">
        <f t="shared" si="0"/>
        <v>2522</v>
      </c>
      <c r="K30">
        <f>SUM(K2:K29)</f>
        <v>3439</v>
      </c>
      <c r="M30">
        <f t="shared" si="0"/>
        <v>3196</v>
      </c>
      <c r="N30" s="1">
        <f>SUM(B30:M30)</f>
        <v>48431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topLeftCell="A19" workbookViewId="0">
      <selection activeCell="E34" sqref="E34"/>
    </sheetView>
  </sheetViews>
  <sheetFormatPr defaultRowHeight="15" x14ac:dyDescent="0.25"/>
  <cols>
    <col min="1" max="3" width="14.42578125" customWidth="1"/>
    <col min="4" max="4" width="10.7109375" customWidth="1"/>
    <col min="5" max="5" width="19.140625" customWidth="1"/>
    <col min="6" max="6" width="25.7109375" customWidth="1"/>
    <col min="8" max="8" width="29" customWidth="1"/>
    <col min="10" max="10" width="20.85546875" customWidth="1"/>
    <col min="12" max="12" width="16.5703125" customWidth="1"/>
    <col min="15" max="15" width="11.855468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J2" t="s">
        <v>75</v>
      </c>
      <c r="K2">
        <v>2500</v>
      </c>
    </row>
    <row r="3" spans="1:16" x14ac:dyDescent="0.25">
      <c r="A3" t="s">
        <v>4</v>
      </c>
      <c r="B3">
        <v>3000</v>
      </c>
      <c r="C3" t="s">
        <v>7</v>
      </c>
      <c r="D3">
        <f>17000+11300</f>
        <v>28300</v>
      </c>
      <c r="O3" t="s">
        <v>1</v>
      </c>
    </row>
    <row r="4" spans="1:16" x14ac:dyDescent="0.25">
      <c r="A4" t="s">
        <v>9</v>
      </c>
      <c r="B4">
        <v>5000</v>
      </c>
      <c r="C4" t="s">
        <v>5</v>
      </c>
      <c r="D4">
        <v>140</v>
      </c>
      <c r="J4" t="s">
        <v>78</v>
      </c>
      <c r="K4">
        <v>680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  <c r="C5" t="s">
        <v>58</v>
      </c>
      <c r="D5">
        <v>2000</v>
      </c>
      <c r="F5" t="s">
        <v>83</v>
      </c>
      <c r="G5">
        <v>492</v>
      </c>
      <c r="O5" t="s">
        <v>107</v>
      </c>
      <c r="P5">
        <v>60</v>
      </c>
    </row>
    <row r="7" spans="1:16" x14ac:dyDescent="0.25">
      <c r="F7" t="s">
        <v>82</v>
      </c>
      <c r="G7">
        <f>570+136</f>
        <v>706</v>
      </c>
      <c r="J7" t="s">
        <v>84</v>
      </c>
      <c r="K7">
        <v>1000</v>
      </c>
      <c r="L7" t="s">
        <v>35</v>
      </c>
      <c r="M7">
        <v>743</v>
      </c>
    </row>
    <row r="8" spans="1:16" x14ac:dyDescent="0.25">
      <c r="L8" t="s">
        <v>77</v>
      </c>
      <c r="M8">
        <v>1088</v>
      </c>
    </row>
    <row r="10" spans="1:16" x14ac:dyDescent="0.25">
      <c r="O10" t="s">
        <v>12</v>
      </c>
    </row>
    <row r="11" spans="1:16" x14ac:dyDescent="0.25">
      <c r="F11" t="s">
        <v>79</v>
      </c>
      <c r="G11">
        <v>266</v>
      </c>
      <c r="O11" t="s">
        <v>11</v>
      </c>
      <c r="P11">
        <v>7000</v>
      </c>
    </row>
    <row r="12" spans="1:16" x14ac:dyDescent="0.25">
      <c r="O12" t="s">
        <v>39</v>
      </c>
      <c r="P12">
        <v>102000</v>
      </c>
    </row>
    <row r="13" spans="1:16" x14ac:dyDescent="0.25">
      <c r="F13" t="s">
        <v>81</v>
      </c>
      <c r="G13">
        <v>150</v>
      </c>
    </row>
    <row r="14" spans="1:16" ht="30" x14ac:dyDescent="0.25">
      <c r="F14" s="2" t="s">
        <v>80</v>
      </c>
      <c r="G14">
        <v>660</v>
      </c>
      <c r="H14" s="2"/>
    </row>
    <row r="15" spans="1:16" x14ac:dyDescent="0.25">
      <c r="F15" t="s">
        <v>89</v>
      </c>
      <c r="G15">
        <v>80</v>
      </c>
      <c r="H15" t="s">
        <v>104</v>
      </c>
      <c r="I15">
        <f>820+838+891</f>
        <v>2549</v>
      </c>
    </row>
    <row r="16" spans="1:16" x14ac:dyDescent="0.25">
      <c r="F16" t="s">
        <v>90</v>
      </c>
      <c r="G16">
        <v>84</v>
      </c>
      <c r="I16" t="s">
        <v>91</v>
      </c>
      <c r="L16" t="s">
        <v>31</v>
      </c>
      <c r="M16">
        <v>209</v>
      </c>
    </row>
    <row r="17" spans="2:14" x14ac:dyDescent="0.25">
      <c r="F17" t="s">
        <v>92</v>
      </c>
      <c r="G17">
        <v>920</v>
      </c>
    </row>
    <row r="18" spans="2:14" x14ac:dyDescent="0.25">
      <c r="F18" t="s">
        <v>93</v>
      </c>
      <c r="G18">
        <f>50+20+50+48</f>
        <v>168</v>
      </c>
    </row>
    <row r="19" spans="2:14" ht="30" x14ac:dyDescent="0.25">
      <c r="C19" s="2" t="s">
        <v>97</v>
      </c>
      <c r="E19">
        <v>175</v>
      </c>
      <c r="F19" s="2" t="s">
        <v>110</v>
      </c>
      <c r="G19">
        <v>414</v>
      </c>
      <c r="J19" t="s">
        <v>95</v>
      </c>
      <c r="K19">
        <v>800</v>
      </c>
    </row>
    <row r="20" spans="2:14" ht="30" x14ac:dyDescent="0.25">
      <c r="E20">
        <v>300</v>
      </c>
      <c r="F20" s="2" t="s">
        <v>94</v>
      </c>
      <c r="G20">
        <f>50+105+20+80</f>
        <v>255</v>
      </c>
      <c r="J20" t="s">
        <v>96</v>
      </c>
      <c r="K20">
        <v>528</v>
      </c>
    </row>
    <row r="21" spans="2:14" x14ac:dyDescent="0.25">
      <c r="H21" t="s">
        <v>98</v>
      </c>
      <c r="I21">
        <v>1074</v>
      </c>
    </row>
    <row r="22" spans="2:14" x14ac:dyDescent="0.25">
      <c r="H22" t="s">
        <v>99</v>
      </c>
      <c r="I22">
        <f>891+1336+167+891</f>
        <v>3285</v>
      </c>
    </row>
    <row r="23" spans="2:14" x14ac:dyDescent="0.25">
      <c r="H23" t="s">
        <v>100</v>
      </c>
      <c r="I23">
        <v>630</v>
      </c>
    </row>
    <row r="24" spans="2:14" x14ac:dyDescent="0.25">
      <c r="H24" t="s">
        <v>103</v>
      </c>
      <c r="I24">
        <v>964</v>
      </c>
    </row>
    <row r="25" spans="2:14" x14ac:dyDescent="0.25">
      <c r="J25" t="s">
        <v>102</v>
      </c>
      <c r="K25">
        <v>680</v>
      </c>
      <c r="L25" t="s">
        <v>101</v>
      </c>
      <c r="M25">
        <v>155</v>
      </c>
    </row>
    <row r="26" spans="2:14" x14ac:dyDescent="0.25">
      <c r="F26" t="s">
        <v>109</v>
      </c>
      <c r="G26">
        <v>90</v>
      </c>
    </row>
    <row r="29" spans="2:14" x14ac:dyDescent="0.25">
      <c r="F29" t="s">
        <v>106</v>
      </c>
      <c r="G29">
        <v>60</v>
      </c>
      <c r="H29" t="s">
        <v>118</v>
      </c>
      <c r="I29">
        <f>1258-389</f>
        <v>869</v>
      </c>
    </row>
    <row r="30" spans="2:14" x14ac:dyDescent="0.25">
      <c r="F30" t="s">
        <v>105</v>
      </c>
      <c r="G30">
        <v>50</v>
      </c>
    </row>
    <row r="31" spans="2:14" x14ac:dyDescent="0.25">
      <c r="F31" t="s">
        <v>114</v>
      </c>
      <c r="G31">
        <v>1200</v>
      </c>
    </row>
    <row r="32" spans="2:14" x14ac:dyDescent="0.25">
      <c r="B32">
        <f t="shared" ref="B32:M32" si="0">SUM(B2:B31)</f>
        <v>15040</v>
      </c>
      <c r="D32">
        <f t="shared" si="0"/>
        <v>30440</v>
      </c>
      <c r="G32">
        <f t="shared" si="0"/>
        <v>5595</v>
      </c>
      <c r="I32">
        <f t="shared" si="0"/>
        <v>9371</v>
      </c>
      <c r="K32">
        <f t="shared" si="0"/>
        <v>6188</v>
      </c>
      <c r="M32">
        <f t="shared" si="0"/>
        <v>2195</v>
      </c>
      <c r="N32" s="1">
        <f>SUM(A32:M32)</f>
        <v>68829</v>
      </c>
    </row>
    <row r="35" spans="1:1" x14ac:dyDescent="0.25">
      <c r="A35" t="s">
        <v>111</v>
      </c>
    </row>
    <row r="36" spans="1:1" x14ac:dyDescent="0.25">
      <c r="A36" t="s">
        <v>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2"/>
  <sheetViews>
    <sheetView topLeftCell="A14" workbookViewId="0">
      <selection activeCell="D3" sqref="D3"/>
    </sheetView>
  </sheetViews>
  <sheetFormatPr defaultRowHeight="15" x14ac:dyDescent="0.25"/>
  <cols>
    <col min="1" max="1" width="24.7109375" customWidth="1"/>
    <col min="2" max="2" width="9.42578125" customWidth="1"/>
    <col min="3" max="3" width="16" customWidth="1"/>
    <col min="4" max="4" width="12.5703125" customWidth="1"/>
    <col min="5" max="5" width="16.42578125" customWidth="1"/>
    <col min="6" max="6" width="27.140625" customWidth="1"/>
    <col min="8" max="8" width="26.5703125" customWidth="1"/>
    <col min="10" max="10" width="19.42578125" customWidth="1"/>
    <col min="12" max="12" width="19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3" spans="1:16" x14ac:dyDescent="0.25">
      <c r="A3" t="s">
        <v>4</v>
      </c>
      <c r="B3">
        <v>3000</v>
      </c>
      <c r="C3" t="s">
        <v>7</v>
      </c>
      <c r="D3">
        <f>11300+20000</f>
        <v>31300</v>
      </c>
      <c r="J3" t="s">
        <v>3</v>
      </c>
      <c r="K3">
        <v>2500</v>
      </c>
      <c r="O3" t="s">
        <v>1</v>
      </c>
    </row>
    <row r="4" spans="1:16" x14ac:dyDescent="0.25">
      <c r="A4" t="s">
        <v>9</v>
      </c>
      <c r="B4">
        <v>6000</v>
      </c>
      <c r="C4" t="s">
        <v>5</v>
      </c>
      <c r="D4">
        <v>150</v>
      </c>
      <c r="L4" t="s">
        <v>122</v>
      </c>
      <c r="M4">
        <v>863</v>
      </c>
      <c r="O4" t="s">
        <v>2</v>
      </c>
      <c r="P4">
        <v>1.25</v>
      </c>
    </row>
    <row r="5" spans="1:16" x14ac:dyDescent="0.25">
      <c r="A5" t="s">
        <v>8</v>
      </c>
      <c r="B5">
        <v>7040</v>
      </c>
      <c r="C5" t="s">
        <v>58</v>
      </c>
      <c r="D5">
        <v>3000</v>
      </c>
      <c r="H5" t="s">
        <v>117</v>
      </c>
      <c r="I5">
        <v>789</v>
      </c>
    </row>
    <row r="6" spans="1:16" x14ac:dyDescent="0.25">
      <c r="A6" t="s">
        <v>108</v>
      </c>
      <c r="B6">
        <v>4000</v>
      </c>
      <c r="H6" t="s">
        <v>121</v>
      </c>
      <c r="I6">
        <v>2282</v>
      </c>
    </row>
    <row r="7" spans="1:16" x14ac:dyDescent="0.25">
      <c r="L7" t="s">
        <v>101</v>
      </c>
      <c r="M7">
        <v>19</v>
      </c>
    </row>
    <row r="8" spans="1:16" x14ac:dyDescent="0.25">
      <c r="A8" t="s">
        <v>115</v>
      </c>
      <c r="E8">
        <v>439</v>
      </c>
      <c r="M8">
        <v>19</v>
      </c>
    </row>
    <row r="9" spans="1:16" x14ac:dyDescent="0.25">
      <c r="A9" t="s">
        <v>116</v>
      </c>
      <c r="E9">
        <v>387</v>
      </c>
      <c r="L9" t="s">
        <v>101</v>
      </c>
      <c r="M9">
        <v>19</v>
      </c>
    </row>
    <row r="10" spans="1:16" x14ac:dyDescent="0.25">
      <c r="A10" t="s">
        <v>119</v>
      </c>
      <c r="E10">
        <v>2900</v>
      </c>
      <c r="O10" t="s">
        <v>12</v>
      </c>
    </row>
    <row r="11" spans="1:16" x14ac:dyDescent="0.25">
      <c r="A11" t="s">
        <v>120</v>
      </c>
      <c r="E11">
        <v>2595</v>
      </c>
      <c r="O11" t="s">
        <v>11</v>
      </c>
      <c r="P11">
        <v>7000</v>
      </c>
    </row>
    <row r="12" spans="1:16" ht="45" x14ac:dyDescent="0.25">
      <c r="C12" s="2" t="s">
        <v>128</v>
      </c>
      <c r="L12" t="s">
        <v>31</v>
      </c>
      <c r="M12">
        <v>209</v>
      </c>
      <c r="O12" t="s">
        <v>39</v>
      </c>
    </row>
    <row r="13" spans="1:16" x14ac:dyDescent="0.25">
      <c r="C13" t="s">
        <v>129</v>
      </c>
    </row>
    <row r="17" spans="1:17" x14ac:dyDescent="0.25">
      <c r="F17" t="s">
        <v>123</v>
      </c>
      <c r="G17">
        <v>850</v>
      </c>
      <c r="H17" t="s">
        <v>69</v>
      </c>
      <c r="I17">
        <v>256</v>
      </c>
      <c r="O17" t="s">
        <v>107</v>
      </c>
      <c r="P17">
        <v>10</v>
      </c>
    </row>
    <row r="18" spans="1:17" x14ac:dyDescent="0.25">
      <c r="F18" t="s">
        <v>125</v>
      </c>
      <c r="G18">
        <v>218</v>
      </c>
      <c r="H18" t="s">
        <v>124</v>
      </c>
      <c r="I18">
        <v>699</v>
      </c>
      <c r="O18" t="s">
        <v>7</v>
      </c>
      <c r="P18">
        <v>20</v>
      </c>
      <c r="Q18" t="s">
        <v>133</v>
      </c>
    </row>
    <row r="19" spans="1:17" x14ac:dyDescent="0.25">
      <c r="F19" t="s">
        <v>126</v>
      </c>
      <c r="G19">
        <v>31</v>
      </c>
    </row>
    <row r="20" spans="1:17" x14ac:dyDescent="0.25">
      <c r="F20" t="s">
        <v>127</v>
      </c>
      <c r="G20">
        <v>399</v>
      </c>
    </row>
    <row r="22" spans="1:17" x14ac:dyDescent="0.25">
      <c r="E22">
        <v>420</v>
      </c>
    </row>
    <row r="23" spans="1:17" x14ac:dyDescent="0.25">
      <c r="F23" t="s">
        <v>131</v>
      </c>
      <c r="G23">
        <v>70</v>
      </c>
      <c r="L23" t="s">
        <v>130</v>
      </c>
      <c r="M23">
        <v>99</v>
      </c>
    </row>
    <row r="24" spans="1:17" x14ac:dyDescent="0.25">
      <c r="F24" t="s">
        <v>132</v>
      </c>
      <c r="G24">
        <f>70+15</f>
        <v>85</v>
      </c>
    </row>
    <row r="26" spans="1:17" x14ac:dyDescent="0.25">
      <c r="A26" t="s">
        <v>112</v>
      </c>
      <c r="F26" t="s">
        <v>143</v>
      </c>
      <c r="G26">
        <v>15</v>
      </c>
    </row>
    <row r="27" spans="1:17" x14ac:dyDescent="0.25">
      <c r="A27" t="s">
        <v>113</v>
      </c>
      <c r="F27" t="s">
        <v>134</v>
      </c>
      <c r="G27">
        <v>235</v>
      </c>
      <c r="J27" t="s">
        <v>138</v>
      </c>
      <c r="K27">
        <v>235</v>
      </c>
    </row>
    <row r="28" spans="1:17" x14ac:dyDescent="0.25">
      <c r="F28" t="s">
        <v>141</v>
      </c>
      <c r="G28">
        <v>110</v>
      </c>
      <c r="H28" t="s">
        <v>139</v>
      </c>
      <c r="I28">
        <v>269</v>
      </c>
    </row>
    <row r="29" spans="1:17" x14ac:dyDescent="0.25">
      <c r="F29" t="s">
        <v>142</v>
      </c>
      <c r="G29">
        <v>100</v>
      </c>
      <c r="H29" t="s">
        <v>140</v>
      </c>
      <c r="I29">
        <v>284</v>
      </c>
    </row>
    <row r="30" spans="1:17" x14ac:dyDescent="0.25">
      <c r="C30" t="s">
        <v>145</v>
      </c>
      <c r="F30" t="s">
        <v>89</v>
      </c>
      <c r="G30">
        <v>138</v>
      </c>
    </row>
    <row r="31" spans="1:17" ht="30" x14ac:dyDescent="0.25">
      <c r="A31" t="s">
        <v>146</v>
      </c>
      <c r="E31">
        <v>235</v>
      </c>
      <c r="F31" s="2" t="s">
        <v>144</v>
      </c>
      <c r="G31">
        <f>100+105+100</f>
        <v>305</v>
      </c>
    </row>
    <row r="32" spans="1:17" x14ac:dyDescent="0.25">
      <c r="B32">
        <f>SUM(B2:B31)</f>
        <v>20040</v>
      </c>
      <c r="D32">
        <f t="shared" ref="D32:G32" si="0">SUM(D2:D31)</f>
        <v>34450</v>
      </c>
      <c r="E32">
        <f t="shared" si="0"/>
        <v>6976</v>
      </c>
      <c r="G32">
        <f t="shared" si="0"/>
        <v>2556</v>
      </c>
      <c r="I32">
        <f t="shared" ref="I32:M32" si="1">SUM(I2:I31)</f>
        <v>4579</v>
      </c>
      <c r="K32">
        <f t="shared" si="1"/>
        <v>2735</v>
      </c>
      <c r="M32">
        <f t="shared" si="1"/>
        <v>1228</v>
      </c>
      <c r="N32" s="1">
        <f>SUM(B32:M32)</f>
        <v>72564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topLeftCell="C1" workbookViewId="0">
      <selection activeCell="D2" sqref="D2"/>
    </sheetView>
  </sheetViews>
  <sheetFormatPr defaultRowHeight="15" x14ac:dyDescent="0.25"/>
  <cols>
    <col min="1" max="1" width="21" customWidth="1"/>
    <col min="2" max="2" width="16.42578125" customWidth="1"/>
    <col min="3" max="3" width="14.28515625" customWidth="1"/>
    <col min="4" max="4" width="11" customWidth="1"/>
    <col min="5" max="5" width="15.7109375" customWidth="1"/>
    <col min="6" max="6" width="29.42578125" customWidth="1"/>
    <col min="8" max="8" width="16.85546875" customWidth="1"/>
    <col min="10" max="10" width="16.28515625" customWidth="1"/>
    <col min="12" max="12" width="18.14062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7</v>
      </c>
      <c r="D2">
        <f>11300</f>
        <v>11300</v>
      </c>
      <c r="E2">
        <v>380</v>
      </c>
      <c r="F2" t="s">
        <v>114</v>
      </c>
      <c r="G2">
        <v>1100</v>
      </c>
    </row>
    <row r="3" spans="1:16" x14ac:dyDescent="0.25">
      <c r="A3" t="s">
        <v>9</v>
      </c>
      <c r="B3">
        <v>6000</v>
      </c>
      <c r="C3" t="s">
        <v>5</v>
      </c>
      <c r="D3">
        <v>125</v>
      </c>
      <c r="F3" t="s">
        <v>147</v>
      </c>
      <c r="G3">
        <v>140</v>
      </c>
      <c r="J3" t="s">
        <v>3</v>
      </c>
      <c r="K3">
        <v>2500</v>
      </c>
      <c r="N3" t="s">
        <v>1</v>
      </c>
    </row>
    <row r="4" spans="1:16" x14ac:dyDescent="0.25">
      <c r="A4" t="s">
        <v>8</v>
      </c>
      <c r="B4">
        <v>7040</v>
      </c>
      <c r="C4" t="s">
        <v>58</v>
      </c>
      <c r="D4">
        <v>2600</v>
      </c>
      <c r="F4" t="s">
        <v>148</v>
      </c>
      <c r="G4">
        <v>270</v>
      </c>
      <c r="J4" t="s">
        <v>150</v>
      </c>
      <c r="K4">
        <v>200</v>
      </c>
      <c r="N4" t="s">
        <v>2</v>
      </c>
      <c r="O4">
        <v>1.25</v>
      </c>
      <c r="P4" t="s">
        <v>178</v>
      </c>
    </row>
    <row r="5" spans="1:16" x14ac:dyDescent="0.25">
      <c r="A5" t="s">
        <v>108</v>
      </c>
      <c r="B5">
        <v>2000</v>
      </c>
      <c r="F5" t="s">
        <v>159</v>
      </c>
      <c r="G5">
        <v>252</v>
      </c>
      <c r="J5" t="s">
        <v>149</v>
      </c>
      <c r="K5">
        <v>1007</v>
      </c>
    </row>
    <row r="6" spans="1:16" x14ac:dyDescent="0.25">
      <c r="F6" t="s">
        <v>152</v>
      </c>
      <c r="G6">
        <v>25</v>
      </c>
    </row>
    <row r="7" spans="1:16" x14ac:dyDescent="0.25">
      <c r="F7" t="s">
        <v>23</v>
      </c>
      <c r="G7">
        <v>15</v>
      </c>
    </row>
    <row r="8" spans="1:16" x14ac:dyDescent="0.25">
      <c r="F8" t="s">
        <v>153</v>
      </c>
      <c r="G8">
        <v>90</v>
      </c>
    </row>
    <row r="9" spans="1:16" x14ac:dyDescent="0.25">
      <c r="F9" t="s">
        <v>157</v>
      </c>
      <c r="G9">
        <v>170</v>
      </c>
      <c r="N9" t="s">
        <v>7</v>
      </c>
    </row>
    <row r="10" spans="1:16" x14ac:dyDescent="0.25">
      <c r="C10" t="s">
        <v>151</v>
      </c>
      <c r="D10">
        <v>17308</v>
      </c>
      <c r="F10" t="s">
        <v>158</v>
      </c>
      <c r="G10">
        <v>240</v>
      </c>
      <c r="J10" t="s">
        <v>160</v>
      </c>
      <c r="K10">
        <v>15</v>
      </c>
      <c r="N10" t="s">
        <v>12</v>
      </c>
    </row>
    <row r="11" spans="1:16" x14ac:dyDescent="0.25">
      <c r="C11" t="s">
        <v>11</v>
      </c>
      <c r="D11">
        <v>4000</v>
      </c>
      <c r="F11" t="s">
        <v>109</v>
      </c>
      <c r="G11">
        <v>155</v>
      </c>
      <c r="L11" t="s">
        <v>163</v>
      </c>
      <c r="M11">
        <v>823</v>
      </c>
      <c r="N11" t="s">
        <v>11</v>
      </c>
      <c r="O11">
        <v>7000</v>
      </c>
    </row>
    <row r="12" spans="1:16" x14ac:dyDescent="0.25">
      <c r="A12" t="s">
        <v>162</v>
      </c>
      <c r="E12">
        <v>544</v>
      </c>
      <c r="N12" t="s">
        <v>135</v>
      </c>
    </row>
    <row r="13" spans="1:16" x14ac:dyDescent="0.25">
      <c r="F13" t="s">
        <v>164</v>
      </c>
      <c r="G13">
        <v>810</v>
      </c>
    </row>
    <row r="14" spans="1:16" x14ac:dyDescent="0.25">
      <c r="F14" t="s">
        <v>165</v>
      </c>
      <c r="G14">
        <v>650</v>
      </c>
      <c r="J14" t="s">
        <v>167</v>
      </c>
      <c r="K14">
        <v>209</v>
      </c>
      <c r="L14" t="s">
        <v>31</v>
      </c>
      <c r="M14">
        <v>209</v>
      </c>
    </row>
    <row r="15" spans="1:16" x14ac:dyDescent="0.25">
      <c r="E15">
        <v>360</v>
      </c>
      <c r="F15" t="s">
        <v>157</v>
      </c>
      <c r="G15">
        <v>110</v>
      </c>
      <c r="L15" t="s">
        <v>166</v>
      </c>
      <c r="M15">
        <v>19</v>
      </c>
    </row>
    <row r="16" spans="1:16" x14ac:dyDescent="0.25">
      <c r="F16" t="s">
        <v>168</v>
      </c>
      <c r="G16">
        <v>963</v>
      </c>
      <c r="L16" t="s">
        <v>166</v>
      </c>
      <c r="M16">
        <v>19</v>
      </c>
      <c r="N16" t="s">
        <v>154</v>
      </c>
    </row>
    <row r="17" spans="2:16" x14ac:dyDescent="0.25">
      <c r="F17" t="s">
        <v>169</v>
      </c>
      <c r="G17">
        <v>264</v>
      </c>
      <c r="N17" t="s">
        <v>107</v>
      </c>
      <c r="O17">
        <v>10</v>
      </c>
    </row>
    <row r="18" spans="2:16" x14ac:dyDescent="0.25">
      <c r="F18" t="s">
        <v>171</v>
      </c>
      <c r="G18">
        <v>65</v>
      </c>
      <c r="N18" t="s">
        <v>7</v>
      </c>
      <c r="O18">
        <v>20</v>
      </c>
      <c r="P18" t="s">
        <v>133</v>
      </c>
    </row>
    <row r="19" spans="2:16" x14ac:dyDescent="0.25">
      <c r="F19" t="s">
        <v>170</v>
      </c>
      <c r="G19">
        <v>80</v>
      </c>
      <c r="N19" t="s">
        <v>161</v>
      </c>
      <c r="O19">
        <v>17</v>
      </c>
    </row>
    <row r="20" spans="2:16" x14ac:dyDescent="0.25">
      <c r="F20" t="s">
        <v>172</v>
      </c>
      <c r="G20">
        <f>140+35</f>
        <v>175</v>
      </c>
    </row>
    <row r="21" spans="2:16" x14ac:dyDescent="0.25">
      <c r="F21" t="s">
        <v>123</v>
      </c>
      <c r="G21">
        <v>300</v>
      </c>
      <c r="N21" t="s">
        <v>155</v>
      </c>
      <c r="O21" t="s">
        <v>156</v>
      </c>
    </row>
    <row r="22" spans="2:16" x14ac:dyDescent="0.25">
      <c r="F22" t="s">
        <v>109</v>
      </c>
      <c r="G22">
        <v>35</v>
      </c>
      <c r="L22" t="s">
        <v>173</v>
      </c>
      <c r="M22">
        <v>365</v>
      </c>
    </row>
    <row r="23" spans="2:16" x14ac:dyDescent="0.25">
      <c r="H23" t="s">
        <v>174</v>
      </c>
      <c r="I23">
        <v>7495</v>
      </c>
    </row>
    <row r="24" spans="2:16" x14ac:dyDescent="0.25">
      <c r="H24" t="s">
        <v>175</v>
      </c>
      <c r="I24">
        <v>1000</v>
      </c>
    </row>
    <row r="25" spans="2:16" x14ac:dyDescent="0.25">
      <c r="C25" t="s">
        <v>136</v>
      </c>
    </row>
    <row r="26" spans="2:16" x14ac:dyDescent="0.25">
      <c r="C26" t="s">
        <v>137</v>
      </c>
    </row>
    <row r="32" spans="2:16" x14ac:dyDescent="0.25">
      <c r="B32">
        <f>SUM(B2:B31)</f>
        <v>18040</v>
      </c>
      <c r="D32">
        <f t="shared" ref="D32:M32" si="0">SUM(D2:D31)</f>
        <v>35333</v>
      </c>
      <c r="E32">
        <f t="shared" si="0"/>
        <v>1284</v>
      </c>
      <c r="G32">
        <f t="shared" si="0"/>
        <v>5909</v>
      </c>
      <c r="I32">
        <f t="shared" si="0"/>
        <v>8495</v>
      </c>
      <c r="K32">
        <f t="shared" si="0"/>
        <v>3931</v>
      </c>
      <c r="M32">
        <f t="shared" si="0"/>
        <v>1435</v>
      </c>
      <c r="N32" s="1">
        <f>SUM(B32:M32)</f>
        <v>74427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1"/>
  <sheetViews>
    <sheetView workbookViewId="0">
      <selection activeCell="D2" sqref="D2"/>
    </sheetView>
  </sheetViews>
  <sheetFormatPr defaultRowHeight="15" x14ac:dyDescent="0.25"/>
  <cols>
    <col min="1" max="1" width="13.140625" customWidth="1"/>
    <col min="2" max="2" width="11.85546875" customWidth="1"/>
    <col min="3" max="3" width="18.42578125" customWidth="1"/>
    <col min="5" max="5" width="16" customWidth="1"/>
    <col min="6" max="6" width="26.140625" customWidth="1"/>
    <col min="8" max="8" width="25.7109375" customWidth="1"/>
    <col min="10" max="10" width="26.140625" customWidth="1"/>
    <col min="12" max="12" width="20.42578125" customWidth="1"/>
    <col min="14" max="14" width="23.71093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  <c r="N1" t="s">
        <v>7</v>
      </c>
    </row>
    <row r="2" spans="1:16" x14ac:dyDescent="0.25">
      <c r="A2" t="s">
        <v>4</v>
      </c>
      <c r="B2">
        <v>3000</v>
      </c>
      <c r="C2" t="s">
        <v>151</v>
      </c>
      <c r="D2">
        <f>16161</f>
        <v>16161</v>
      </c>
      <c r="F2" t="s">
        <v>109</v>
      </c>
      <c r="G2">
        <f>35+100+25</f>
        <v>160</v>
      </c>
      <c r="H2" t="s">
        <v>179</v>
      </c>
      <c r="I2">
        <v>871</v>
      </c>
      <c r="J2" t="s">
        <v>3</v>
      </c>
      <c r="K2">
        <v>2500</v>
      </c>
      <c r="N2" t="s">
        <v>12</v>
      </c>
    </row>
    <row r="3" spans="1:16" x14ac:dyDescent="0.25">
      <c r="A3" t="s">
        <v>9</v>
      </c>
      <c r="B3">
        <v>6000</v>
      </c>
      <c r="C3" t="s">
        <v>5</v>
      </c>
      <c r="D3">
        <v>135</v>
      </c>
      <c r="F3" t="s">
        <v>180</v>
      </c>
      <c r="G3">
        <f>50+50</f>
        <v>100</v>
      </c>
      <c r="N3" t="s">
        <v>11</v>
      </c>
      <c r="O3">
        <v>7000</v>
      </c>
    </row>
    <row r="4" spans="1:16" x14ac:dyDescent="0.25">
      <c r="A4" t="s">
        <v>8</v>
      </c>
      <c r="B4">
        <v>7040</v>
      </c>
      <c r="C4" t="s">
        <v>58</v>
      </c>
      <c r="D4">
        <v>1500</v>
      </c>
      <c r="F4" t="s">
        <v>181</v>
      </c>
      <c r="G4">
        <v>254</v>
      </c>
      <c r="H4" t="s">
        <v>182</v>
      </c>
      <c r="I4">
        <v>179</v>
      </c>
      <c r="N4" t="s">
        <v>211</v>
      </c>
      <c r="P4" t="s">
        <v>212</v>
      </c>
    </row>
    <row r="5" spans="1:16" x14ac:dyDescent="0.25">
      <c r="A5" t="s">
        <v>108</v>
      </c>
      <c r="B5">
        <v>2000</v>
      </c>
      <c r="F5" t="s">
        <v>109</v>
      </c>
      <c r="G5">
        <v>45</v>
      </c>
      <c r="H5" t="s">
        <v>183</v>
      </c>
      <c r="I5">
        <v>210</v>
      </c>
    </row>
    <row r="6" spans="1:16" x14ac:dyDescent="0.25">
      <c r="F6" t="s">
        <v>184</v>
      </c>
      <c r="G6">
        <v>35</v>
      </c>
      <c r="L6" t="s">
        <v>185</v>
      </c>
      <c r="M6">
        <v>150</v>
      </c>
    </row>
    <row r="7" spans="1:16" x14ac:dyDescent="0.25">
      <c r="L7" t="s">
        <v>186</v>
      </c>
      <c r="M7">
        <v>600</v>
      </c>
      <c r="N7" t="s">
        <v>154</v>
      </c>
    </row>
    <row r="8" spans="1:16" x14ac:dyDescent="0.25">
      <c r="L8" t="s">
        <v>191</v>
      </c>
      <c r="M8">
        <v>209</v>
      </c>
      <c r="N8" t="s">
        <v>107</v>
      </c>
      <c r="O8">
        <v>10</v>
      </c>
    </row>
    <row r="9" spans="1:16" x14ac:dyDescent="0.25">
      <c r="L9" t="s">
        <v>101</v>
      </c>
      <c r="M9">
        <v>19</v>
      </c>
      <c r="N9" t="s">
        <v>7</v>
      </c>
      <c r="O9">
        <v>20</v>
      </c>
      <c r="P9" t="s">
        <v>133</v>
      </c>
    </row>
    <row r="10" spans="1:16" x14ac:dyDescent="0.25">
      <c r="M10">
        <v>19</v>
      </c>
      <c r="N10" t="s">
        <v>161</v>
      </c>
      <c r="O10">
        <v>17.3</v>
      </c>
    </row>
    <row r="11" spans="1:16" x14ac:dyDescent="0.25">
      <c r="F11" t="s">
        <v>109</v>
      </c>
      <c r="G11">
        <v>175</v>
      </c>
      <c r="H11" t="s">
        <v>187</v>
      </c>
      <c r="I11">
        <v>1190</v>
      </c>
      <c r="L11" t="s">
        <v>189</v>
      </c>
      <c r="M11">
        <v>2000</v>
      </c>
    </row>
    <row r="12" spans="1:16" x14ac:dyDescent="0.25">
      <c r="L12" t="s">
        <v>188</v>
      </c>
      <c r="M12">
        <v>200</v>
      </c>
      <c r="N12" t="s">
        <v>155</v>
      </c>
      <c r="O12" t="s">
        <v>156</v>
      </c>
    </row>
    <row r="13" spans="1:16" x14ac:dyDescent="0.25">
      <c r="L13" t="s">
        <v>190</v>
      </c>
      <c r="M13">
        <v>400</v>
      </c>
    </row>
    <row r="14" spans="1:16" x14ac:dyDescent="0.25">
      <c r="L14" t="s">
        <v>192</v>
      </c>
      <c r="M14">
        <v>100</v>
      </c>
    </row>
    <row r="15" spans="1:16" x14ac:dyDescent="0.25">
      <c r="L15" t="s">
        <v>193</v>
      </c>
      <c r="M15">
        <v>7000</v>
      </c>
    </row>
    <row r="16" spans="1:16" x14ac:dyDescent="0.25">
      <c r="F16" t="s">
        <v>195</v>
      </c>
      <c r="G16">
        <v>150</v>
      </c>
      <c r="L16" t="s">
        <v>196</v>
      </c>
      <c r="M16">
        <v>1580</v>
      </c>
    </row>
    <row r="17" spans="1:15" x14ac:dyDescent="0.25">
      <c r="A17" t="s">
        <v>176</v>
      </c>
      <c r="F17" t="s">
        <v>194</v>
      </c>
      <c r="G17">
        <v>130</v>
      </c>
    </row>
    <row r="18" spans="1:15" x14ac:dyDescent="0.25">
      <c r="A18" t="s">
        <v>177</v>
      </c>
      <c r="N18" t="s">
        <v>244</v>
      </c>
      <c r="O18">
        <v>11300</v>
      </c>
    </row>
    <row r="19" spans="1:15" x14ac:dyDescent="0.25">
      <c r="J19" t="s">
        <v>197</v>
      </c>
      <c r="K19">
        <v>150</v>
      </c>
    </row>
    <row r="21" spans="1:15" x14ac:dyDescent="0.25">
      <c r="E21">
        <v>380</v>
      </c>
      <c r="L21" t="s">
        <v>198</v>
      </c>
      <c r="M21">
        <v>847</v>
      </c>
    </row>
    <row r="22" spans="1:15" x14ac:dyDescent="0.25">
      <c r="F22" t="s">
        <v>109</v>
      </c>
      <c r="G22">
        <v>90</v>
      </c>
      <c r="L22" t="s">
        <v>199</v>
      </c>
      <c r="M22">
        <v>551</v>
      </c>
    </row>
    <row r="23" spans="1:15" x14ac:dyDescent="0.25">
      <c r="J23" t="s">
        <v>200</v>
      </c>
      <c r="K23">
        <v>200</v>
      </c>
      <c r="L23" t="s">
        <v>202</v>
      </c>
      <c r="M23">
        <v>270</v>
      </c>
    </row>
    <row r="24" spans="1:15" ht="30" x14ac:dyDescent="0.25">
      <c r="J24" s="2" t="s">
        <v>201</v>
      </c>
      <c r="K24">
        <v>1009</v>
      </c>
      <c r="L24" t="s">
        <v>203</v>
      </c>
      <c r="M24">
        <v>2500</v>
      </c>
    </row>
    <row r="27" spans="1:15" x14ac:dyDescent="0.25">
      <c r="F27" t="s">
        <v>109</v>
      </c>
      <c r="G27">
        <v>45</v>
      </c>
      <c r="H27" t="s">
        <v>204</v>
      </c>
      <c r="I27">
        <v>7302</v>
      </c>
      <c r="J27" t="s">
        <v>209</v>
      </c>
      <c r="K27">
        <v>500</v>
      </c>
      <c r="L27" t="s">
        <v>208</v>
      </c>
      <c r="M27">
        <v>45</v>
      </c>
    </row>
    <row r="28" spans="1:15" x14ac:dyDescent="0.25">
      <c r="H28" t="s">
        <v>205</v>
      </c>
      <c r="I28">
        <v>150</v>
      </c>
      <c r="J28" t="s">
        <v>210</v>
      </c>
      <c r="K28">
        <v>699</v>
      </c>
      <c r="L28" t="s">
        <v>207</v>
      </c>
      <c r="M28">
        <v>269</v>
      </c>
    </row>
    <row r="29" spans="1:15" x14ac:dyDescent="0.25">
      <c r="H29" t="s">
        <v>206</v>
      </c>
      <c r="I29">
        <v>1479</v>
      </c>
    </row>
    <row r="31" spans="1:15" x14ac:dyDescent="0.25">
      <c r="B31">
        <f t="shared" ref="B31" si="0">SUM(B2:B30)</f>
        <v>18040</v>
      </c>
      <c r="D31">
        <f t="shared" ref="D31:M31" si="1">SUM(D2:D30)</f>
        <v>17796</v>
      </c>
      <c r="E31">
        <f t="shared" si="1"/>
        <v>380</v>
      </c>
      <c r="G31">
        <f t="shared" si="1"/>
        <v>1184</v>
      </c>
      <c r="I31">
        <f t="shared" si="1"/>
        <v>11381</v>
      </c>
      <c r="K31">
        <f t="shared" si="1"/>
        <v>5058</v>
      </c>
      <c r="M31">
        <f t="shared" si="1"/>
        <v>16759</v>
      </c>
      <c r="N31" s="1">
        <f>SUM(A31:M31)</f>
        <v>70598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topLeftCell="D22" workbookViewId="0">
      <selection activeCell="O21" sqref="O21"/>
    </sheetView>
  </sheetViews>
  <sheetFormatPr defaultRowHeight="15" x14ac:dyDescent="0.25"/>
  <cols>
    <col min="1" max="1" width="30.85546875" customWidth="1"/>
    <col min="3" max="3" width="14.140625" customWidth="1"/>
    <col min="5" max="5" width="20.42578125" customWidth="1"/>
    <col min="6" max="6" width="28.140625" customWidth="1"/>
    <col min="8" max="8" width="16.42578125" customWidth="1"/>
    <col min="10" max="10" width="17.42578125" customWidth="1"/>
    <col min="12" max="12" width="17.7109375" customWidth="1"/>
    <col min="15" max="15" width="18.5703125" customWidth="1"/>
  </cols>
  <sheetData>
    <row r="1" spans="1:17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7" x14ac:dyDescent="0.25">
      <c r="A2" t="s">
        <v>4</v>
      </c>
      <c r="B2">
        <v>3000</v>
      </c>
      <c r="C2" t="s">
        <v>151</v>
      </c>
      <c r="D2">
        <f>16124</f>
        <v>16124</v>
      </c>
      <c r="J2" t="s">
        <v>3</v>
      </c>
      <c r="K2">
        <v>2500</v>
      </c>
      <c r="O2" t="s">
        <v>7</v>
      </c>
    </row>
    <row r="3" spans="1:17" x14ac:dyDescent="0.25">
      <c r="A3" t="s">
        <v>9</v>
      </c>
      <c r="B3">
        <v>6000</v>
      </c>
      <c r="C3" t="s">
        <v>5</v>
      </c>
      <c r="D3">
        <v>150</v>
      </c>
      <c r="E3">
        <v>380</v>
      </c>
      <c r="F3" t="s">
        <v>45</v>
      </c>
      <c r="G3">
        <v>35</v>
      </c>
      <c r="J3" t="s">
        <v>217</v>
      </c>
      <c r="K3">
        <v>1900</v>
      </c>
      <c r="O3" t="s">
        <v>12</v>
      </c>
    </row>
    <row r="4" spans="1:17" x14ac:dyDescent="0.25">
      <c r="A4" t="s">
        <v>8</v>
      </c>
      <c r="B4">
        <v>7040</v>
      </c>
      <c r="C4" t="s">
        <v>58</v>
      </c>
      <c r="D4">
        <v>3000</v>
      </c>
      <c r="O4" t="s">
        <v>11</v>
      </c>
      <c r="P4">
        <v>7000</v>
      </c>
    </row>
    <row r="5" spans="1:17" x14ac:dyDescent="0.25">
      <c r="A5" t="s">
        <v>108</v>
      </c>
      <c r="B5">
        <v>2000</v>
      </c>
      <c r="F5" t="s">
        <v>109</v>
      </c>
      <c r="G5">
        <v>223</v>
      </c>
      <c r="O5" t="s">
        <v>227</v>
      </c>
      <c r="P5">
        <v>40000</v>
      </c>
    </row>
    <row r="6" spans="1:17" x14ac:dyDescent="0.25">
      <c r="A6" t="s">
        <v>214</v>
      </c>
      <c r="B6">
        <v>52376</v>
      </c>
      <c r="F6" t="s">
        <v>218</v>
      </c>
      <c r="G6">
        <v>870</v>
      </c>
      <c r="J6" t="s">
        <v>219</v>
      </c>
      <c r="K6">
        <v>100</v>
      </c>
    </row>
    <row r="8" spans="1:17" x14ac:dyDescent="0.25">
      <c r="C8" t="s">
        <v>221</v>
      </c>
      <c r="E8">
        <v>135</v>
      </c>
      <c r="O8" t="s">
        <v>154</v>
      </c>
    </row>
    <row r="9" spans="1:17" x14ac:dyDescent="0.25">
      <c r="C9" t="s">
        <v>220</v>
      </c>
      <c r="E9">
        <v>156</v>
      </c>
      <c r="O9" t="s">
        <v>107</v>
      </c>
      <c r="P9">
        <v>10</v>
      </c>
    </row>
    <row r="10" spans="1:17" x14ac:dyDescent="0.25">
      <c r="O10" t="s">
        <v>7</v>
      </c>
      <c r="P10">
        <v>20</v>
      </c>
      <c r="Q10" t="s">
        <v>133</v>
      </c>
    </row>
    <row r="11" spans="1:17" x14ac:dyDescent="0.25">
      <c r="J11" t="s">
        <v>222</v>
      </c>
      <c r="K11">
        <v>3000</v>
      </c>
      <c r="O11" t="s">
        <v>8</v>
      </c>
      <c r="P11">
        <v>20</v>
      </c>
    </row>
    <row r="12" spans="1:17" x14ac:dyDescent="0.25">
      <c r="F12" t="s">
        <v>192</v>
      </c>
      <c r="G12">
        <v>100</v>
      </c>
    </row>
    <row r="13" spans="1:17" x14ac:dyDescent="0.25">
      <c r="F13" t="s">
        <v>223</v>
      </c>
      <c r="G13">
        <v>449</v>
      </c>
      <c r="O13" t="s">
        <v>213</v>
      </c>
      <c r="P13" t="s">
        <v>156</v>
      </c>
    </row>
    <row r="15" spans="1:17" x14ac:dyDescent="0.25">
      <c r="E15">
        <v>395</v>
      </c>
      <c r="F15" t="s">
        <v>109</v>
      </c>
      <c r="G15">
        <v>85</v>
      </c>
    </row>
    <row r="16" spans="1:17" x14ac:dyDescent="0.25">
      <c r="L16" t="s">
        <v>31</v>
      </c>
      <c r="M16">
        <v>209</v>
      </c>
    </row>
    <row r="17" spans="1:16" x14ac:dyDescent="0.25">
      <c r="L17" t="s">
        <v>101</v>
      </c>
      <c r="M17">
        <v>100</v>
      </c>
      <c r="O17" t="s">
        <v>244</v>
      </c>
      <c r="P17">
        <v>11300</v>
      </c>
    </row>
    <row r="19" spans="1:16" x14ac:dyDescent="0.25">
      <c r="A19" t="s">
        <v>215</v>
      </c>
      <c r="C19" t="s">
        <v>224</v>
      </c>
      <c r="D19">
        <v>20000</v>
      </c>
      <c r="F19" t="s">
        <v>225</v>
      </c>
      <c r="G19">
        <v>781</v>
      </c>
    </row>
    <row r="20" spans="1:16" x14ac:dyDescent="0.25">
      <c r="A20" t="s">
        <v>216</v>
      </c>
    </row>
    <row r="21" spans="1:16" x14ac:dyDescent="0.25">
      <c r="F21" t="s">
        <v>109</v>
      </c>
      <c r="G21">
        <v>55</v>
      </c>
    </row>
    <row r="25" spans="1:16" x14ac:dyDescent="0.25">
      <c r="F25" t="s">
        <v>226</v>
      </c>
      <c r="G25">
        <v>5000</v>
      </c>
    </row>
    <row r="27" spans="1:16" x14ac:dyDescent="0.25">
      <c r="F27" t="s">
        <v>42</v>
      </c>
      <c r="G27">
        <v>120</v>
      </c>
    </row>
    <row r="28" spans="1:16" x14ac:dyDescent="0.25">
      <c r="F28" t="s">
        <v>232</v>
      </c>
      <c r="G28">
        <v>90</v>
      </c>
    </row>
    <row r="29" spans="1:16" x14ac:dyDescent="0.25">
      <c r="F29" t="s">
        <v>233</v>
      </c>
      <c r="G29">
        <v>40</v>
      </c>
      <c r="L29" t="s">
        <v>234</v>
      </c>
      <c r="M29">
        <v>807</v>
      </c>
    </row>
    <row r="30" spans="1:16" x14ac:dyDescent="0.25">
      <c r="F30" t="s">
        <v>64</v>
      </c>
      <c r="G30">
        <v>90</v>
      </c>
      <c r="L30" t="s">
        <v>239</v>
      </c>
      <c r="M30">
        <v>350</v>
      </c>
      <c r="P30" t="s">
        <v>242</v>
      </c>
    </row>
    <row r="31" spans="1:16" x14ac:dyDescent="0.25">
      <c r="F31" t="s">
        <v>109</v>
      </c>
      <c r="G31">
        <v>20</v>
      </c>
    </row>
    <row r="32" spans="1:16" ht="30" x14ac:dyDescent="0.25">
      <c r="F32" t="s">
        <v>238</v>
      </c>
      <c r="G32">
        <f>207+202</f>
        <v>409</v>
      </c>
      <c r="H32" s="2" t="s">
        <v>237</v>
      </c>
      <c r="I32">
        <v>273</v>
      </c>
    </row>
    <row r="33" spans="2:14" x14ac:dyDescent="0.25">
      <c r="B33">
        <f>SUM(B2:B31)</f>
        <v>70416</v>
      </c>
      <c r="D33">
        <f t="shared" ref="D33:M33" si="0">SUM(D2:D31)</f>
        <v>39274</v>
      </c>
      <c r="E33">
        <f t="shared" si="0"/>
        <v>1066</v>
      </c>
      <c r="G33">
        <f>SUM(G2:G32)</f>
        <v>8367</v>
      </c>
      <c r="I33">
        <f>SUM(I2:I32)</f>
        <v>273</v>
      </c>
      <c r="K33">
        <f t="shared" si="0"/>
        <v>7500</v>
      </c>
      <c r="M33">
        <f t="shared" si="0"/>
        <v>1466</v>
      </c>
      <c r="N33" s="1">
        <f>SUM(B33:M33)</f>
        <v>128362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2"/>
  <sheetViews>
    <sheetView topLeftCell="D1" workbookViewId="0">
      <selection activeCell="M37" sqref="M37"/>
    </sheetView>
  </sheetViews>
  <sheetFormatPr defaultRowHeight="15" x14ac:dyDescent="0.25"/>
  <cols>
    <col min="1" max="1" width="23.7109375" customWidth="1"/>
    <col min="3" max="3" width="24.85546875" customWidth="1"/>
    <col min="5" max="5" width="18.5703125" customWidth="1"/>
    <col min="6" max="6" width="25" customWidth="1"/>
    <col min="8" max="8" width="17.140625" customWidth="1"/>
    <col min="10" max="10" width="15.28515625" customWidth="1"/>
    <col min="12" max="12" width="19.140625" customWidth="1"/>
    <col min="14" max="14" width="22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2800</v>
      </c>
      <c r="J2" t="s">
        <v>3</v>
      </c>
      <c r="K2">
        <v>2500</v>
      </c>
    </row>
    <row r="3" spans="1:16" ht="30" x14ac:dyDescent="0.25">
      <c r="A3" t="s">
        <v>9</v>
      </c>
      <c r="B3">
        <v>6000</v>
      </c>
      <c r="C3" t="s">
        <v>5</v>
      </c>
      <c r="D3">
        <v>150</v>
      </c>
      <c r="F3" s="2" t="s">
        <v>231</v>
      </c>
      <c r="G3">
        <v>3500</v>
      </c>
      <c r="H3" s="2" t="s">
        <v>240</v>
      </c>
      <c r="I3">
        <v>873</v>
      </c>
      <c r="J3" s="2" t="s">
        <v>230</v>
      </c>
      <c r="K3">
        <v>2600</v>
      </c>
      <c r="N3" t="s">
        <v>7</v>
      </c>
    </row>
    <row r="4" spans="1:16" x14ac:dyDescent="0.25">
      <c r="A4" t="s">
        <v>8</v>
      </c>
      <c r="B4">
        <v>7040</v>
      </c>
      <c r="C4" t="s">
        <v>243</v>
      </c>
      <c r="D4">
        <v>22000</v>
      </c>
      <c r="F4" t="s">
        <v>241</v>
      </c>
      <c r="G4">
        <v>307</v>
      </c>
      <c r="L4" t="s">
        <v>246</v>
      </c>
      <c r="M4">
        <v>2100</v>
      </c>
      <c r="N4" t="s">
        <v>12</v>
      </c>
    </row>
    <row r="5" spans="1:16" x14ac:dyDescent="0.25">
      <c r="A5" t="s">
        <v>108</v>
      </c>
      <c r="B5">
        <v>2000</v>
      </c>
      <c r="C5" t="s">
        <v>7</v>
      </c>
      <c r="F5" t="s">
        <v>245</v>
      </c>
      <c r="G5">
        <f>70+70</f>
        <v>140</v>
      </c>
      <c r="L5" t="s">
        <v>247</v>
      </c>
      <c r="M5">
        <v>61</v>
      </c>
      <c r="N5" t="s">
        <v>11</v>
      </c>
      <c r="O5">
        <v>7000</v>
      </c>
    </row>
    <row r="6" spans="1:16" x14ac:dyDescent="0.25">
      <c r="E6">
        <v>380</v>
      </c>
    </row>
    <row r="7" spans="1:16" x14ac:dyDescent="0.25">
      <c r="J7" t="s">
        <v>249</v>
      </c>
      <c r="K7">
        <v>110</v>
      </c>
      <c r="L7" t="s">
        <v>31</v>
      </c>
      <c r="M7">
        <v>209</v>
      </c>
      <c r="N7" t="s">
        <v>244</v>
      </c>
      <c r="O7">
        <f>11300+11300+15153</f>
        <v>37753</v>
      </c>
      <c r="P7">
        <v>13924</v>
      </c>
    </row>
    <row r="8" spans="1:16" x14ac:dyDescent="0.25">
      <c r="A8" t="s">
        <v>248</v>
      </c>
      <c r="E8">
        <v>145</v>
      </c>
    </row>
    <row r="9" spans="1:16" x14ac:dyDescent="0.25">
      <c r="N9" t="s">
        <v>154</v>
      </c>
    </row>
    <row r="10" spans="1:16" x14ac:dyDescent="0.25">
      <c r="N10" t="s">
        <v>107</v>
      </c>
      <c r="O10">
        <v>10</v>
      </c>
    </row>
    <row r="11" spans="1:16" x14ac:dyDescent="0.25">
      <c r="N11" t="s">
        <v>7</v>
      </c>
      <c r="O11">
        <v>20</v>
      </c>
      <c r="P11" t="s">
        <v>133</v>
      </c>
    </row>
    <row r="12" spans="1:16" x14ac:dyDescent="0.25">
      <c r="A12" t="s">
        <v>250</v>
      </c>
      <c r="E12">
        <v>272</v>
      </c>
      <c r="F12" t="s">
        <v>109</v>
      </c>
      <c r="G12">
        <v>140</v>
      </c>
      <c r="N12" t="s">
        <v>8</v>
      </c>
      <c r="O12">
        <v>5</v>
      </c>
    </row>
    <row r="13" spans="1:16" x14ac:dyDescent="0.25">
      <c r="E13">
        <v>314</v>
      </c>
      <c r="N13" t="s">
        <v>235</v>
      </c>
      <c r="O13">
        <v>49593</v>
      </c>
      <c r="P13" t="s">
        <v>236</v>
      </c>
    </row>
    <row r="14" spans="1:16" x14ac:dyDescent="0.25">
      <c r="A14" t="s">
        <v>251</v>
      </c>
      <c r="E14">
        <v>323</v>
      </c>
      <c r="F14" t="s">
        <v>252</v>
      </c>
      <c r="G14">
        <v>160</v>
      </c>
      <c r="N14" t="s">
        <v>243</v>
      </c>
      <c r="O14">
        <v>22000</v>
      </c>
    </row>
    <row r="15" spans="1:16" x14ac:dyDescent="0.25">
      <c r="E15">
        <v>160</v>
      </c>
      <c r="F15" t="s">
        <v>253</v>
      </c>
      <c r="G15">
        <v>120</v>
      </c>
    </row>
    <row r="16" spans="1:16" x14ac:dyDescent="0.25">
      <c r="A16" t="s">
        <v>228</v>
      </c>
      <c r="F16" t="s">
        <v>254</v>
      </c>
      <c r="G16">
        <v>40</v>
      </c>
    </row>
    <row r="17" spans="1:15" x14ac:dyDescent="0.25">
      <c r="A17" t="s">
        <v>229</v>
      </c>
      <c r="N17" t="s">
        <v>213</v>
      </c>
      <c r="O17" t="s">
        <v>156</v>
      </c>
    </row>
    <row r="18" spans="1:15" x14ac:dyDescent="0.25">
      <c r="H18" t="s">
        <v>255</v>
      </c>
      <c r="I18">
        <v>1199</v>
      </c>
    </row>
    <row r="19" spans="1:15" x14ac:dyDescent="0.25">
      <c r="F19" t="s">
        <v>109</v>
      </c>
      <c r="G19">
        <v>70</v>
      </c>
      <c r="L19" t="s">
        <v>256</v>
      </c>
      <c r="M19">
        <v>100</v>
      </c>
    </row>
    <row r="20" spans="1:15" x14ac:dyDescent="0.25">
      <c r="C20" t="s">
        <v>257</v>
      </c>
    </row>
    <row r="21" spans="1:15" x14ac:dyDescent="0.25">
      <c r="F21" t="s">
        <v>259</v>
      </c>
      <c r="G21">
        <f>90+40+60+10</f>
        <v>200</v>
      </c>
    </row>
    <row r="24" spans="1:15" x14ac:dyDescent="0.25">
      <c r="L24" t="s">
        <v>101</v>
      </c>
      <c r="M24">
        <v>155</v>
      </c>
    </row>
    <row r="26" spans="1:15" ht="27" customHeight="1" x14ac:dyDescent="0.25">
      <c r="C26" s="2" t="s">
        <v>263</v>
      </c>
      <c r="H26" t="s">
        <v>262</v>
      </c>
      <c r="I26">
        <v>6000</v>
      </c>
      <c r="J26" t="s">
        <v>264</v>
      </c>
      <c r="K26">
        <v>4300</v>
      </c>
    </row>
    <row r="28" spans="1:15" ht="60" x14ac:dyDescent="0.25">
      <c r="H28" s="2" t="s">
        <v>265</v>
      </c>
      <c r="I28">
        <v>1515</v>
      </c>
    </row>
    <row r="30" spans="1:15" ht="30" x14ac:dyDescent="0.25">
      <c r="L30" s="2" t="s">
        <v>266</v>
      </c>
      <c r="M30">
        <v>987</v>
      </c>
    </row>
    <row r="31" spans="1:15" x14ac:dyDescent="0.25">
      <c r="C31" t="s">
        <v>267</v>
      </c>
    </row>
    <row r="32" spans="1:15" x14ac:dyDescent="0.25">
      <c r="B32">
        <f>SUM(B2:B31)</f>
        <v>18040</v>
      </c>
      <c r="D32">
        <f t="shared" ref="D32:K32" si="0">SUM(D2:D31)</f>
        <v>24950</v>
      </c>
      <c r="G32">
        <f t="shared" si="0"/>
        <v>4677</v>
      </c>
      <c r="I32">
        <f t="shared" si="0"/>
        <v>9587</v>
      </c>
      <c r="K32">
        <f t="shared" si="0"/>
        <v>9510</v>
      </c>
      <c r="M32" s="1">
        <f>SUM(A32:L32)</f>
        <v>66764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2"/>
  <sheetViews>
    <sheetView topLeftCell="F1" workbookViewId="0">
      <selection activeCell="O7" sqref="O7"/>
    </sheetView>
  </sheetViews>
  <sheetFormatPr defaultRowHeight="15" x14ac:dyDescent="0.25"/>
  <cols>
    <col min="1" max="1" width="13.7109375" customWidth="1"/>
    <col min="2" max="2" width="9.5703125" customWidth="1"/>
    <col min="3" max="3" width="17.85546875" customWidth="1"/>
    <col min="4" max="4" width="13.5703125" customWidth="1"/>
    <col min="5" max="5" width="19.42578125" customWidth="1"/>
    <col min="6" max="6" width="31.28515625" customWidth="1"/>
    <col min="7" max="7" width="10.5703125" customWidth="1"/>
    <col min="8" max="8" width="27.42578125" customWidth="1"/>
    <col min="9" max="9" width="9.5703125" customWidth="1"/>
    <col min="10" max="10" width="21.140625" customWidth="1"/>
    <col min="12" max="12" width="18.28515625" customWidth="1"/>
    <col min="14" max="14" width="21.710937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2600</v>
      </c>
      <c r="H2" s="2" t="s">
        <v>307</v>
      </c>
      <c r="I2">
        <f>449+250</f>
        <v>699</v>
      </c>
      <c r="J2" t="s">
        <v>3</v>
      </c>
      <c r="K2">
        <v>2500</v>
      </c>
    </row>
    <row r="3" spans="1:16" ht="30" x14ac:dyDescent="0.25">
      <c r="A3" t="s">
        <v>9</v>
      </c>
      <c r="B3">
        <v>6000</v>
      </c>
      <c r="C3" t="s">
        <v>5</v>
      </c>
      <c r="D3">
        <v>150</v>
      </c>
      <c r="F3" s="2" t="s">
        <v>269</v>
      </c>
      <c r="G3">
        <f>108+150+60</f>
        <v>318</v>
      </c>
      <c r="J3" s="2" t="s">
        <v>268</v>
      </c>
      <c r="K3">
        <v>1500</v>
      </c>
      <c r="L3" t="s">
        <v>35</v>
      </c>
      <c r="M3">
        <v>854</v>
      </c>
      <c r="N3" t="s">
        <v>7</v>
      </c>
    </row>
    <row r="4" spans="1:16" ht="45" x14ac:dyDescent="0.25">
      <c r="A4" t="s">
        <v>8</v>
      </c>
      <c r="B4">
        <v>7040</v>
      </c>
      <c r="F4" s="2" t="s">
        <v>270</v>
      </c>
      <c r="G4">
        <f>80+90+10+60+35</f>
        <v>275</v>
      </c>
      <c r="J4" t="s">
        <v>302</v>
      </c>
      <c r="K4">
        <v>600</v>
      </c>
      <c r="L4" t="s">
        <v>31</v>
      </c>
      <c r="M4">
        <v>209</v>
      </c>
      <c r="N4" t="s">
        <v>12</v>
      </c>
    </row>
    <row r="5" spans="1:16" x14ac:dyDescent="0.25">
      <c r="A5" t="s">
        <v>108</v>
      </c>
      <c r="B5">
        <v>2000</v>
      </c>
      <c r="F5" t="s">
        <v>271</v>
      </c>
      <c r="G5">
        <v>409</v>
      </c>
      <c r="N5" t="s">
        <v>11</v>
      </c>
      <c r="O5">
        <v>7000</v>
      </c>
    </row>
    <row r="6" spans="1:16" x14ac:dyDescent="0.25">
      <c r="F6" t="s">
        <v>272</v>
      </c>
      <c r="G6">
        <v>219</v>
      </c>
    </row>
    <row r="7" spans="1:16" x14ac:dyDescent="0.25">
      <c r="H7" t="s">
        <v>295</v>
      </c>
      <c r="I7">
        <v>275</v>
      </c>
      <c r="N7" t="s">
        <v>244</v>
      </c>
      <c r="O7">
        <f>11300+11300+15153+15153</f>
        <v>52906</v>
      </c>
    </row>
    <row r="9" spans="1:16" x14ac:dyDescent="0.25">
      <c r="F9" t="s">
        <v>274</v>
      </c>
    </row>
    <row r="10" spans="1:16" x14ac:dyDescent="0.25">
      <c r="F10" t="s">
        <v>275</v>
      </c>
      <c r="G10">
        <v>75</v>
      </c>
      <c r="N10" t="s">
        <v>154</v>
      </c>
    </row>
    <row r="11" spans="1:16" x14ac:dyDescent="0.25">
      <c r="C11" t="s">
        <v>273</v>
      </c>
      <c r="F11" t="s">
        <v>233</v>
      </c>
      <c r="G11">
        <v>40</v>
      </c>
    </row>
    <row r="12" spans="1:16" x14ac:dyDescent="0.25">
      <c r="F12" t="s">
        <v>276</v>
      </c>
      <c r="G12">
        <v>20</v>
      </c>
      <c r="N12" t="s">
        <v>7</v>
      </c>
      <c r="O12">
        <v>20000</v>
      </c>
      <c r="P12" t="s">
        <v>133</v>
      </c>
    </row>
    <row r="13" spans="1:16" x14ac:dyDescent="0.25">
      <c r="F13" t="s">
        <v>105</v>
      </c>
      <c r="G13">
        <v>50</v>
      </c>
      <c r="H13" t="s">
        <v>312</v>
      </c>
      <c r="I13">
        <v>582</v>
      </c>
      <c r="L13" t="s">
        <v>277</v>
      </c>
      <c r="M13">
        <v>200</v>
      </c>
      <c r="N13" t="s">
        <v>258</v>
      </c>
      <c r="O13">
        <v>5000</v>
      </c>
    </row>
    <row r="14" spans="1:16" x14ac:dyDescent="0.25">
      <c r="F14" t="s">
        <v>109</v>
      </c>
      <c r="G14">
        <v>20</v>
      </c>
      <c r="N14" t="s">
        <v>235</v>
      </c>
      <c r="O14">
        <v>49593</v>
      </c>
      <c r="P14" t="s">
        <v>236</v>
      </c>
    </row>
    <row r="15" spans="1:16" x14ac:dyDescent="0.25">
      <c r="A15" t="s">
        <v>260</v>
      </c>
    </row>
    <row r="16" spans="1:16" x14ac:dyDescent="0.25">
      <c r="A16" t="s">
        <v>261</v>
      </c>
      <c r="F16" t="s">
        <v>109</v>
      </c>
      <c r="G16">
        <v>260</v>
      </c>
    </row>
    <row r="17" spans="1:15" x14ac:dyDescent="0.25">
      <c r="E17">
        <v>380</v>
      </c>
      <c r="L17" t="s">
        <v>101</v>
      </c>
      <c r="M17">
        <v>99</v>
      </c>
      <c r="N17" t="s">
        <v>213</v>
      </c>
      <c r="O17" t="s">
        <v>156</v>
      </c>
    </row>
    <row r="18" spans="1:15" x14ac:dyDescent="0.25">
      <c r="C18" t="s">
        <v>278</v>
      </c>
      <c r="F18" t="s">
        <v>279</v>
      </c>
      <c r="G18">
        <v>80</v>
      </c>
    </row>
    <row r="19" spans="1:15" x14ac:dyDescent="0.25">
      <c r="F19" t="s">
        <v>233</v>
      </c>
      <c r="G19">
        <v>40</v>
      </c>
      <c r="H19" t="s">
        <v>292</v>
      </c>
      <c r="J19" t="s">
        <v>280</v>
      </c>
      <c r="K19">
        <v>1000</v>
      </c>
    </row>
    <row r="20" spans="1:15" x14ac:dyDescent="0.25">
      <c r="H20" t="s">
        <v>293</v>
      </c>
    </row>
    <row r="21" spans="1:15" x14ac:dyDescent="0.25">
      <c r="E21">
        <v>320</v>
      </c>
      <c r="H21" t="s">
        <v>294</v>
      </c>
    </row>
    <row r="22" spans="1:15" x14ac:dyDescent="0.25">
      <c r="H22" t="s">
        <v>281</v>
      </c>
      <c r="I22">
        <f>1556+1415</f>
        <v>2971</v>
      </c>
    </row>
    <row r="23" spans="1:15" x14ac:dyDescent="0.25">
      <c r="F23" t="s">
        <v>284</v>
      </c>
      <c r="G23">
        <v>140</v>
      </c>
    </row>
    <row r="24" spans="1:15" x14ac:dyDescent="0.25">
      <c r="F24" t="s">
        <v>286</v>
      </c>
      <c r="G24">
        <v>120</v>
      </c>
      <c r="H24" t="s">
        <v>282</v>
      </c>
      <c r="I24">
        <f>1106+630+495</f>
        <v>2231</v>
      </c>
      <c r="J24" t="s">
        <v>308</v>
      </c>
      <c r="K24">
        <v>900</v>
      </c>
    </row>
    <row r="25" spans="1:15" x14ac:dyDescent="0.25">
      <c r="A25" t="s">
        <v>300</v>
      </c>
      <c r="E25">
        <v>20</v>
      </c>
      <c r="F25" t="s">
        <v>290</v>
      </c>
      <c r="G25">
        <v>30</v>
      </c>
      <c r="H25" t="s">
        <v>283</v>
      </c>
    </row>
    <row r="26" spans="1:15" x14ac:dyDescent="0.25">
      <c r="F26" t="s">
        <v>288</v>
      </c>
      <c r="G26">
        <v>176</v>
      </c>
      <c r="H26" t="s">
        <v>285</v>
      </c>
    </row>
    <row r="27" spans="1:15" x14ac:dyDescent="0.25">
      <c r="A27" t="s">
        <v>287</v>
      </c>
      <c r="E27">
        <f>84+84+49</f>
        <v>217</v>
      </c>
      <c r="F27" t="s">
        <v>105</v>
      </c>
      <c r="G27">
        <v>50</v>
      </c>
    </row>
    <row r="28" spans="1:15" x14ac:dyDescent="0.25">
      <c r="F28" t="s">
        <v>291</v>
      </c>
      <c r="G28">
        <v>20</v>
      </c>
      <c r="J28" t="s">
        <v>289</v>
      </c>
      <c r="K28">
        <v>1167</v>
      </c>
      <c r="L28" t="s">
        <v>296</v>
      </c>
      <c r="M28">
        <v>1400</v>
      </c>
    </row>
    <row r="29" spans="1:15" x14ac:dyDescent="0.25">
      <c r="F29" t="s">
        <v>109</v>
      </c>
      <c r="G29">
        <v>50</v>
      </c>
      <c r="H29" t="s">
        <v>303</v>
      </c>
      <c r="I29">
        <f>1495+1295</f>
        <v>2790</v>
      </c>
    </row>
    <row r="30" spans="1:15" x14ac:dyDescent="0.25">
      <c r="F30" t="s">
        <v>297</v>
      </c>
      <c r="G30">
        <v>667</v>
      </c>
      <c r="H30" t="s">
        <v>301</v>
      </c>
      <c r="I30">
        <v>400</v>
      </c>
      <c r="J30" t="s">
        <v>304</v>
      </c>
      <c r="K30">
        <v>670</v>
      </c>
    </row>
    <row r="31" spans="1:15" x14ac:dyDescent="0.25">
      <c r="F31" t="s">
        <v>306</v>
      </c>
      <c r="G31">
        <f>89+210</f>
        <v>299</v>
      </c>
      <c r="H31" t="s">
        <v>305</v>
      </c>
      <c r="I31">
        <v>850</v>
      </c>
    </row>
    <row r="32" spans="1:15" x14ac:dyDescent="0.25">
      <c r="B32">
        <f>SUM(B2:B31)</f>
        <v>18040</v>
      </c>
      <c r="D32">
        <f t="shared" ref="D32:K32" si="0">SUM(D2:D31)</f>
        <v>2750</v>
      </c>
      <c r="E32">
        <f t="shared" si="0"/>
        <v>937</v>
      </c>
      <c r="G32">
        <f>SUM(G2:G31)</f>
        <v>3358</v>
      </c>
      <c r="I32">
        <f t="shared" si="0"/>
        <v>10798</v>
      </c>
      <c r="K32">
        <f t="shared" si="0"/>
        <v>8337</v>
      </c>
      <c r="M32">
        <f t="shared" ref="M32" si="1">SUM(M2:M31)</f>
        <v>2762</v>
      </c>
      <c r="N32" s="1">
        <f>SUM(B32:M32)</f>
        <v>46982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3"/>
  <sheetViews>
    <sheetView workbookViewId="0">
      <selection activeCell="K36" sqref="K36"/>
    </sheetView>
  </sheetViews>
  <sheetFormatPr defaultRowHeight="15" x14ac:dyDescent="0.25"/>
  <cols>
    <col min="1" max="1" width="32.140625" customWidth="1"/>
    <col min="3" max="3" width="16.140625" customWidth="1"/>
    <col min="5" max="5" width="17.5703125" customWidth="1"/>
    <col min="6" max="6" width="27.140625" customWidth="1"/>
    <col min="8" max="8" width="24.5703125" customWidth="1"/>
    <col min="10" max="10" width="17" customWidth="1"/>
    <col min="12" max="12" width="19.28515625" customWidth="1"/>
    <col min="14" max="14" width="20.42578125" customWidth="1"/>
  </cols>
  <sheetData>
    <row r="1" spans="1:15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5" x14ac:dyDescent="0.25">
      <c r="A2" t="s">
        <v>4</v>
      </c>
      <c r="B2">
        <v>3000</v>
      </c>
      <c r="C2" t="s">
        <v>58</v>
      </c>
      <c r="D2">
        <v>2500</v>
      </c>
      <c r="J2" t="s">
        <v>3</v>
      </c>
      <c r="K2">
        <v>2500</v>
      </c>
    </row>
    <row r="3" spans="1:15" x14ac:dyDescent="0.25">
      <c r="A3" t="s">
        <v>9</v>
      </c>
      <c r="B3">
        <v>6000</v>
      </c>
      <c r="C3" t="s">
        <v>5</v>
      </c>
      <c r="D3">
        <v>150</v>
      </c>
      <c r="F3" t="s">
        <v>316</v>
      </c>
      <c r="G3">
        <v>1149</v>
      </c>
      <c r="J3" t="s">
        <v>309</v>
      </c>
      <c r="K3">
        <v>6534</v>
      </c>
      <c r="L3" t="s">
        <v>31</v>
      </c>
      <c r="M3">
        <v>209</v>
      </c>
    </row>
    <row r="4" spans="1:15" x14ac:dyDescent="0.25">
      <c r="A4" t="s">
        <v>8</v>
      </c>
      <c r="B4">
        <v>7040</v>
      </c>
      <c r="F4" t="s">
        <v>317</v>
      </c>
      <c r="G4">
        <v>120</v>
      </c>
      <c r="H4" t="s">
        <v>311</v>
      </c>
      <c r="I4">
        <v>539</v>
      </c>
      <c r="J4" t="s">
        <v>310</v>
      </c>
      <c r="K4">
        <v>800</v>
      </c>
    </row>
    <row r="5" spans="1:15" x14ac:dyDescent="0.25">
      <c r="A5" t="s">
        <v>108</v>
      </c>
      <c r="B5">
        <v>2000</v>
      </c>
      <c r="F5" t="s">
        <v>109</v>
      </c>
      <c r="G5">
        <v>89</v>
      </c>
      <c r="J5" t="s">
        <v>314</v>
      </c>
      <c r="K5">
        <v>1000</v>
      </c>
    </row>
    <row r="6" spans="1:15" x14ac:dyDescent="0.25">
      <c r="J6" t="s">
        <v>315</v>
      </c>
      <c r="K6">
        <v>500</v>
      </c>
      <c r="L6" t="s">
        <v>166</v>
      </c>
      <c r="M6">
        <v>19</v>
      </c>
      <c r="N6" t="s">
        <v>7</v>
      </c>
    </row>
    <row r="7" spans="1:15" x14ac:dyDescent="0.25">
      <c r="M7">
        <v>19</v>
      </c>
      <c r="N7" t="s">
        <v>12</v>
      </c>
    </row>
    <row r="8" spans="1:15" ht="30" x14ac:dyDescent="0.25">
      <c r="A8" s="2" t="s">
        <v>331</v>
      </c>
      <c r="E8" t="s">
        <v>332</v>
      </c>
      <c r="M8">
        <v>19</v>
      </c>
      <c r="N8" t="s">
        <v>11</v>
      </c>
      <c r="O8">
        <v>7000</v>
      </c>
    </row>
    <row r="9" spans="1:15" x14ac:dyDescent="0.25">
      <c r="F9" t="s">
        <v>313</v>
      </c>
      <c r="G9">
        <v>270</v>
      </c>
    </row>
    <row r="10" spans="1:15" x14ac:dyDescent="0.25">
      <c r="F10" t="s">
        <v>318</v>
      </c>
      <c r="G10">
        <v>120</v>
      </c>
      <c r="L10" t="s">
        <v>198</v>
      </c>
      <c r="M10">
        <v>1200</v>
      </c>
      <c r="N10" t="s">
        <v>244</v>
      </c>
      <c r="O10">
        <f>11300+11300+15153+15153+15153</f>
        <v>68059</v>
      </c>
    </row>
    <row r="11" spans="1:15" x14ac:dyDescent="0.25">
      <c r="E11">
        <v>380</v>
      </c>
    </row>
    <row r="12" spans="1:15" ht="45" x14ac:dyDescent="0.25">
      <c r="F12" s="2" t="s">
        <v>320</v>
      </c>
      <c r="G12">
        <v>293</v>
      </c>
      <c r="J12" s="2" t="s">
        <v>319</v>
      </c>
      <c r="K12">
        <v>850</v>
      </c>
      <c r="N12" t="s">
        <v>213</v>
      </c>
      <c r="O12" t="s">
        <v>156</v>
      </c>
    </row>
    <row r="13" spans="1:15" x14ac:dyDescent="0.25">
      <c r="A13" t="s">
        <v>330</v>
      </c>
      <c r="E13">
        <v>303</v>
      </c>
    </row>
    <row r="15" spans="1:15" x14ac:dyDescent="0.25">
      <c r="F15" t="s">
        <v>323</v>
      </c>
      <c r="G15">
        <f>175+55</f>
        <v>230</v>
      </c>
      <c r="J15" t="s">
        <v>321</v>
      </c>
    </row>
    <row r="16" spans="1:15" x14ac:dyDescent="0.25">
      <c r="A16" t="s">
        <v>298</v>
      </c>
      <c r="J16" t="s">
        <v>322</v>
      </c>
      <c r="K16">
        <v>1001</v>
      </c>
    </row>
    <row r="17" spans="1:13" x14ac:dyDescent="0.25">
      <c r="A17" t="s">
        <v>299</v>
      </c>
    </row>
    <row r="19" spans="1:13" x14ac:dyDescent="0.25">
      <c r="F19" t="s">
        <v>325</v>
      </c>
      <c r="G19">
        <v>80</v>
      </c>
      <c r="L19" t="s">
        <v>324</v>
      </c>
      <c r="M19">
        <v>690</v>
      </c>
    </row>
    <row r="20" spans="1:13" x14ac:dyDescent="0.25">
      <c r="L20" t="s">
        <v>333</v>
      </c>
      <c r="M20">
        <v>100</v>
      </c>
    </row>
    <row r="21" spans="1:13" x14ac:dyDescent="0.25">
      <c r="H21" t="s">
        <v>326</v>
      </c>
      <c r="L21" t="s">
        <v>334</v>
      </c>
    </row>
    <row r="22" spans="1:13" x14ac:dyDescent="0.25">
      <c r="H22" t="s">
        <v>327</v>
      </c>
      <c r="I22">
        <v>1184</v>
      </c>
    </row>
    <row r="23" spans="1:13" x14ac:dyDescent="0.25">
      <c r="F23" t="s">
        <v>109</v>
      </c>
      <c r="G23">
        <v>153</v>
      </c>
      <c r="J23" t="s">
        <v>328</v>
      </c>
      <c r="K23">
        <v>499</v>
      </c>
    </row>
    <row r="26" spans="1:13" x14ac:dyDescent="0.25">
      <c r="H26" t="s">
        <v>329</v>
      </c>
      <c r="I26">
        <v>444</v>
      </c>
    </row>
    <row r="28" spans="1:13" ht="30" x14ac:dyDescent="0.25">
      <c r="H28" s="2" t="s">
        <v>338</v>
      </c>
      <c r="I28">
        <v>2000</v>
      </c>
      <c r="L28" t="s">
        <v>31</v>
      </c>
      <c r="M28">
        <v>209</v>
      </c>
    </row>
    <row r="29" spans="1:13" x14ac:dyDescent="0.25">
      <c r="J29" t="s">
        <v>341</v>
      </c>
      <c r="K29">
        <v>230</v>
      </c>
    </row>
    <row r="30" spans="1:13" ht="30" x14ac:dyDescent="0.25">
      <c r="F30" t="s">
        <v>339</v>
      </c>
      <c r="G30">
        <f>50+40+350</f>
        <v>440</v>
      </c>
      <c r="J30" s="2" t="s">
        <v>340</v>
      </c>
      <c r="K30">
        <v>400</v>
      </c>
    </row>
    <row r="33" spans="2:14" x14ac:dyDescent="0.25">
      <c r="B33">
        <f>SUM(B2:B32)</f>
        <v>18040</v>
      </c>
      <c r="D33">
        <f t="shared" ref="D33:M33" si="0">SUM(D2:D32)</f>
        <v>2650</v>
      </c>
      <c r="E33">
        <f>SUM(E2:E32)</f>
        <v>683</v>
      </c>
      <c r="G33">
        <f t="shared" si="0"/>
        <v>2944</v>
      </c>
      <c r="I33">
        <f t="shared" si="0"/>
        <v>4167</v>
      </c>
      <c r="K33">
        <f t="shared" si="0"/>
        <v>14314</v>
      </c>
      <c r="M33">
        <f t="shared" si="0"/>
        <v>2465</v>
      </c>
      <c r="N33" s="1">
        <f>SUM(B33:M33)</f>
        <v>45263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2"/>
  <sheetViews>
    <sheetView topLeftCell="C1" zoomScale="90" zoomScaleNormal="90" workbookViewId="0">
      <pane ySplit="1" topLeftCell="A11" activePane="bottomLeft" state="frozen"/>
      <selection pane="bottomLeft" activeCell="L27" sqref="L27"/>
    </sheetView>
  </sheetViews>
  <sheetFormatPr defaultRowHeight="15" x14ac:dyDescent="0.25"/>
  <cols>
    <col min="1" max="1" width="14.85546875" customWidth="1"/>
    <col min="3" max="3" width="14.85546875" customWidth="1"/>
    <col min="5" max="5" width="15.7109375" customWidth="1"/>
    <col min="6" max="6" width="30.7109375" customWidth="1"/>
    <col min="8" max="8" width="32.140625" customWidth="1"/>
    <col min="9" max="9" width="11.85546875" customWidth="1"/>
    <col min="10" max="10" width="20" customWidth="1"/>
    <col min="12" max="12" width="16.5703125" customWidth="1"/>
  </cols>
  <sheetData>
    <row r="1" spans="1:16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  <c r="M1" s="1"/>
    </row>
    <row r="2" spans="1:16" x14ac:dyDescent="0.25">
      <c r="A2" t="s">
        <v>4</v>
      </c>
      <c r="B2">
        <v>3000</v>
      </c>
      <c r="C2" t="s">
        <v>58</v>
      </c>
      <c r="D2">
        <v>1500</v>
      </c>
      <c r="J2" t="s">
        <v>3</v>
      </c>
      <c r="K2">
        <v>2500</v>
      </c>
    </row>
    <row r="3" spans="1:16" x14ac:dyDescent="0.25">
      <c r="A3" t="s">
        <v>9</v>
      </c>
      <c r="B3">
        <v>6000</v>
      </c>
      <c r="C3" t="s">
        <v>5</v>
      </c>
      <c r="D3">
        <v>150</v>
      </c>
      <c r="F3" t="s">
        <v>342</v>
      </c>
      <c r="G3">
        <v>1238</v>
      </c>
      <c r="H3" t="s">
        <v>343</v>
      </c>
      <c r="I3">
        <f>400+450</f>
        <v>850</v>
      </c>
      <c r="N3" t="s">
        <v>11</v>
      </c>
      <c r="O3">
        <v>7000</v>
      </c>
    </row>
    <row r="4" spans="1:16" x14ac:dyDescent="0.25">
      <c r="A4" t="s">
        <v>8</v>
      </c>
      <c r="B4">
        <v>7040</v>
      </c>
      <c r="C4" t="s">
        <v>336</v>
      </c>
      <c r="D4">
        <v>1000</v>
      </c>
      <c r="F4" t="s">
        <v>105</v>
      </c>
      <c r="G4">
        <v>50</v>
      </c>
      <c r="N4" t="s">
        <v>346</v>
      </c>
      <c r="O4">
        <v>23000</v>
      </c>
      <c r="P4" t="s">
        <v>388</v>
      </c>
    </row>
    <row r="5" spans="1:16" x14ac:dyDescent="0.25">
      <c r="A5" t="s">
        <v>108</v>
      </c>
      <c r="B5">
        <v>2000</v>
      </c>
      <c r="C5" t="s">
        <v>337</v>
      </c>
      <c r="D5">
        <v>15200</v>
      </c>
      <c r="F5" t="s">
        <v>344</v>
      </c>
      <c r="G5">
        <v>200</v>
      </c>
    </row>
    <row r="6" spans="1:16" x14ac:dyDescent="0.25">
      <c r="D6">
        <v>23000</v>
      </c>
      <c r="H6" t="s">
        <v>345</v>
      </c>
    </row>
    <row r="7" spans="1:16" x14ac:dyDescent="0.25">
      <c r="E7">
        <v>380</v>
      </c>
      <c r="I7" s="1">
        <v>11510</v>
      </c>
    </row>
    <row r="8" spans="1:16" x14ac:dyDescent="0.25">
      <c r="A8" t="s">
        <v>335</v>
      </c>
      <c r="H8" t="s">
        <v>348</v>
      </c>
      <c r="I8" s="1">
        <v>15000</v>
      </c>
      <c r="N8" t="s">
        <v>347</v>
      </c>
      <c r="O8">
        <v>11510</v>
      </c>
    </row>
    <row r="9" spans="1:16" x14ac:dyDescent="0.25">
      <c r="A9" t="s">
        <v>385</v>
      </c>
      <c r="F9" t="s">
        <v>105</v>
      </c>
      <c r="G9">
        <v>50</v>
      </c>
      <c r="O9">
        <v>26000</v>
      </c>
    </row>
    <row r="12" spans="1:16" x14ac:dyDescent="0.25">
      <c r="H12" t="s">
        <v>350</v>
      </c>
      <c r="I12">
        <f>500+400+300</f>
        <v>1200</v>
      </c>
    </row>
    <row r="13" spans="1:16" x14ac:dyDescent="0.25">
      <c r="F13" t="s">
        <v>105</v>
      </c>
      <c r="G13">
        <v>50</v>
      </c>
      <c r="H13" t="s">
        <v>352</v>
      </c>
      <c r="I13">
        <v>249</v>
      </c>
      <c r="N13" t="s">
        <v>213</v>
      </c>
      <c r="O13" t="s">
        <v>156</v>
      </c>
    </row>
    <row r="14" spans="1:16" ht="30" x14ac:dyDescent="0.25">
      <c r="H14" t="s">
        <v>353</v>
      </c>
      <c r="I14">
        <f>574-284+424</f>
        <v>714</v>
      </c>
      <c r="J14" s="2" t="s">
        <v>351</v>
      </c>
      <c r="K14">
        <v>1499</v>
      </c>
      <c r="L14" t="s">
        <v>349</v>
      </c>
      <c r="M14">
        <v>864</v>
      </c>
    </row>
    <row r="15" spans="1:16" x14ac:dyDescent="0.25">
      <c r="C15" t="s">
        <v>356</v>
      </c>
      <c r="E15">
        <f>84+84</f>
        <v>168</v>
      </c>
      <c r="F15" t="s">
        <v>109</v>
      </c>
      <c r="G15">
        <v>100</v>
      </c>
      <c r="H15" t="s">
        <v>354</v>
      </c>
      <c r="I15">
        <v>198</v>
      </c>
    </row>
    <row r="16" spans="1:16" x14ac:dyDescent="0.25">
      <c r="E16">
        <f t="shared" ref="E16:E17" si="0">84+84</f>
        <v>168</v>
      </c>
      <c r="H16" t="s">
        <v>355</v>
      </c>
      <c r="I16">
        <v>1365</v>
      </c>
    </row>
    <row r="17" spans="2:15" x14ac:dyDescent="0.25">
      <c r="E17">
        <f t="shared" si="0"/>
        <v>168</v>
      </c>
      <c r="F17" t="s">
        <v>291</v>
      </c>
      <c r="G17">
        <v>65</v>
      </c>
      <c r="H17" t="s">
        <v>358</v>
      </c>
      <c r="I17">
        <v>599</v>
      </c>
      <c r="L17" t="s">
        <v>357</v>
      </c>
      <c r="M17">
        <v>1350</v>
      </c>
    </row>
    <row r="18" spans="2:15" x14ac:dyDescent="0.25">
      <c r="E18">
        <v>380</v>
      </c>
      <c r="F18" t="s">
        <v>105</v>
      </c>
      <c r="G18">
        <v>50</v>
      </c>
      <c r="H18" t="s">
        <v>365</v>
      </c>
      <c r="I18">
        <v>689</v>
      </c>
    </row>
    <row r="19" spans="2:15" ht="30" x14ac:dyDescent="0.25">
      <c r="H19" t="s">
        <v>359</v>
      </c>
      <c r="I19">
        <f>379+75</f>
        <v>454</v>
      </c>
      <c r="N19" s="2" t="s">
        <v>387</v>
      </c>
      <c r="O19">
        <v>6500</v>
      </c>
    </row>
    <row r="20" spans="2:15" x14ac:dyDescent="0.25">
      <c r="F20" t="s">
        <v>109</v>
      </c>
      <c r="G20">
        <v>120</v>
      </c>
      <c r="H20" t="s">
        <v>370</v>
      </c>
      <c r="I20">
        <v>1104</v>
      </c>
      <c r="N20" t="s">
        <v>389</v>
      </c>
    </row>
    <row r="21" spans="2:15" x14ac:dyDescent="0.25">
      <c r="F21" t="s">
        <v>361</v>
      </c>
      <c r="G21">
        <v>55</v>
      </c>
      <c r="H21" t="s">
        <v>360</v>
      </c>
      <c r="I21">
        <v>460</v>
      </c>
      <c r="J21" t="s">
        <v>362</v>
      </c>
      <c r="K21">
        <v>160</v>
      </c>
    </row>
    <row r="22" spans="2:15" x14ac:dyDescent="0.25">
      <c r="C22" t="s">
        <v>382</v>
      </c>
      <c r="E22">
        <f>100+84</f>
        <v>184</v>
      </c>
      <c r="H22" t="s">
        <v>364</v>
      </c>
      <c r="I22">
        <v>200</v>
      </c>
      <c r="L22" t="s">
        <v>363</v>
      </c>
      <c r="M22">
        <v>1081</v>
      </c>
    </row>
    <row r="23" spans="2:15" x14ac:dyDescent="0.25">
      <c r="E23">
        <f>392+84</f>
        <v>476</v>
      </c>
      <c r="H23" t="s">
        <v>366</v>
      </c>
      <c r="I23">
        <v>1165</v>
      </c>
      <c r="L23" t="s">
        <v>7</v>
      </c>
      <c r="M23">
        <v>1299</v>
      </c>
    </row>
    <row r="24" spans="2:15" x14ac:dyDescent="0.25">
      <c r="E24">
        <f>84+84</f>
        <v>168</v>
      </c>
      <c r="F24" t="s">
        <v>368</v>
      </c>
      <c r="G24">
        <v>100</v>
      </c>
      <c r="H24" t="s">
        <v>373</v>
      </c>
      <c r="I24">
        <v>873</v>
      </c>
    </row>
    <row r="25" spans="2:15" x14ac:dyDescent="0.25">
      <c r="F25" t="s">
        <v>276</v>
      </c>
      <c r="G25">
        <v>20</v>
      </c>
      <c r="J25" t="s">
        <v>367</v>
      </c>
      <c r="K25">
        <v>398</v>
      </c>
      <c r="L25" t="s">
        <v>31</v>
      </c>
      <c r="M25">
        <v>209</v>
      </c>
    </row>
    <row r="26" spans="2:15" x14ac:dyDescent="0.25">
      <c r="F26" t="s">
        <v>105</v>
      </c>
      <c r="G26">
        <v>50</v>
      </c>
      <c r="H26" t="s">
        <v>369</v>
      </c>
      <c r="I26" s="1">
        <v>11000</v>
      </c>
    </row>
    <row r="27" spans="2:15" x14ac:dyDescent="0.25">
      <c r="F27" t="s">
        <v>380</v>
      </c>
      <c r="G27">
        <v>260</v>
      </c>
      <c r="H27" t="s">
        <v>377</v>
      </c>
      <c r="I27">
        <v>289</v>
      </c>
    </row>
    <row r="28" spans="2:15" x14ac:dyDescent="0.25">
      <c r="F28" t="s">
        <v>381</v>
      </c>
      <c r="G28">
        <v>65</v>
      </c>
      <c r="H28" t="s">
        <v>378</v>
      </c>
      <c r="I28">
        <v>9372</v>
      </c>
    </row>
    <row r="29" spans="2:15" x14ac:dyDescent="0.25">
      <c r="C29" t="s">
        <v>382</v>
      </c>
      <c r="E29">
        <f>84+84</f>
        <v>168</v>
      </c>
      <c r="H29" t="s">
        <v>379</v>
      </c>
      <c r="I29">
        <v>1581</v>
      </c>
    </row>
    <row r="30" spans="2:15" x14ac:dyDescent="0.25">
      <c r="E30">
        <f t="shared" ref="E30:E31" si="1">84+84</f>
        <v>168</v>
      </c>
      <c r="F30" t="s">
        <v>109</v>
      </c>
      <c r="G30">
        <v>60</v>
      </c>
      <c r="J30" t="s">
        <v>390</v>
      </c>
      <c r="K30">
        <v>600</v>
      </c>
      <c r="L30" t="s">
        <v>101</v>
      </c>
      <c r="M30">
        <v>99</v>
      </c>
    </row>
    <row r="31" spans="2:15" x14ac:dyDescent="0.25">
      <c r="E31">
        <f t="shared" si="1"/>
        <v>168</v>
      </c>
    </row>
    <row r="32" spans="2:15" x14ac:dyDescent="0.25">
      <c r="B32">
        <f t="shared" ref="B32:M32" si="2">SUM(B2:B31)</f>
        <v>18040</v>
      </c>
      <c r="D32">
        <f t="shared" si="2"/>
        <v>40850</v>
      </c>
      <c r="E32">
        <f t="shared" si="2"/>
        <v>2596</v>
      </c>
      <c r="G32">
        <f t="shared" si="2"/>
        <v>2533</v>
      </c>
      <c r="I32">
        <f t="shared" si="2"/>
        <v>58872</v>
      </c>
      <c r="K32">
        <f t="shared" si="2"/>
        <v>5157</v>
      </c>
      <c r="M32">
        <f t="shared" si="2"/>
        <v>4902</v>
      </c>
      <c r="N32" s="1">
        <f>SUM(B32:M32)</f>
        <v>132950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2"/>
  <sheetViews>
    <sheetView tabSelected="1" topLeftCell="C18" workbookViewId="0">
      <selection activeCell="G36" sqref="G36"/>
    </sheetView>
  </sheetViews>
  <sheetFormatPr defaultRowHeight="15" x14ac:dyDescent="0.25"/>
  <cols>
    <col min="1" max="1" width="19.85546875" customWidth="1"/>
    <col min="2" max="2" width="10.5703125" customWidth="1"/>
    <col min="3" max="3" width="14.5703125" customWidth="1"/>
    <col min="5" max="5" width="19.28515625" customWidth="1"/>
    <col min="6" max="6" width="24.140625" customWidth="1"/>
    <col min="8" max="8" width="22.5703125" customWidth="1"/>
    <col min="10" max="10" width="29.85546875" customWidth="1"/>
    <col min="12" max="12" width="18.140625" customWidth="1"/>
    <col min="13" max="13" width="14.28515625" customWidth="1"/>
  </cols>
  <sheetData>
    <row r="1" spans="1:14" x14ac:dyDescent="0.25">
      <c r="A1" s="1" t="s">
        <v>74</v>
      </c>
      <c r="B1" s="1"/>
      <c r="C1" s="1" t="s">
        <v>76</v>
      </c>
      <c r="D1" s="1"/>
      <c r="E1" s="1" t="s">
        <v>16</v>
      </c>
      <c r="F1" s="1" t="s">
        <v>17</v>
      </c>
      <c r="G1" s="1"/>
      <c r="H1" s="1" t="s">
        <v>0</v>
      </c>
      <c r="I1" s="1"/>
      <c r="J1" s="1" t="s">
        <v>15</v>
      </c>
      <c r="K1" s="1"/>
      <c r="L1" s="1" t="s">
        <v>18</v>
      </c>
    </row>
    <row r="2" spans="1:14" x14ac:dyDescent="0.25">
      <c r="A2" t="s">
        <v>4</v>
      </c>
      <c r="B2">
        <v>3000</v>
      </c>
      <c r="C2" t="s">
        <v>58</v>
      </c>
      <c r="D2">
        <v>2600</v>
      </c>
      <c r="F2" t="s">
        <v>42</v>
      </c>
      <c r="G2">
        <v>150</v>
      </c>
      <c r="J2" t="s">
        <v>3</v>
      </c>
      <c r="K2">
        <v>2500</v>
      </c>
    </row>
    <row r="3" spans="1:14" x14ac:dyDescent="0.25">
      <c r="A3" t="s">
        <v>9</v>
      </c>
      <c r="B3">
        <v>6000</v>
      </c>
      <c r="C3" t="s">
        <v>5</v>
      </c>
      <c r="D3">
        <v>160</v>
      </c>
      <c r="H3" t="s">
        <v>391</v>
      </c>
      <c r="I3">
        <v>2200</v>
      </c>
      <c r="M3" t="s">
        <v>11</v>
      </c>
      <c r="N3">
        <v>7000</v>
      </c>
    </row>
    <row r="4" spans="1:14" x14ac:dyDescent="0.25">
      <c r="A4" t="s">
        <v>8</v>
      </c>
      <c r="B4">
        <v>7040</v>
      </c>
      <c r="C4" t="s">
        <v>336</v>
      </c>
      <c r="D4">
        <v>1850</v>
      </c>
      <c r="E4">
        <v>320</v>
      </c>
      <c r="F4" t="s">
        <v>438</v>
      </c>
      <c r="G4">
        <v>51</v>
      </c>
      <c r="H4" t="s">
        <v>392</v>
      </c>
      <c r="I4">
        <v>140</v>
      </c>
    </row>
    <row r="5" spans="1:14" x14ac:dyDescent="0.25">
      <c r="A5" t="s">
        <v>108</v>
      </c>
      <c r="B5">
        <v>2000</v>
      </c>
      <c r="C5" t="s">
        <v>337</v>
      </c>
      <c r="D5">
        <v>15200</v>
      </c>
      <c r="H5" t="s">
        <v>396</v>
      </c>
      <c r="I5">
        <v>420</v>
      </c>
    </row>
    <row r="6" spans="1:14" x14ac:dyDescent="0.25">
      <c r="E6">
        <f>84+84</f>
        <v>168</v>
      </c>
      <c r="H6" t="s">
        <v>395</v>
      </c>
      <c r="I6">
        <v>200</v>
      </c>
      <c r="M6" t="s">
        <v>347</v>
      </c>
      <c r="N6">
        <v>11510</v>
      </c>
    </row>
    <row r="7" spans="1:14" x14ac:dyDescent="0.25">
      <c r="A7" t="s">
        <v>397</v>
      </c>
      <c r="E7">
        <v>358</v>
      </c>
      <c r="F7" t="s">
        <v>399</v>
      </c>
      <c r="G7">
        <v>250</v>
      </c>
      <c r="H7" t="s">
        <v>398</v>
      </c>
      <c r="I7">
        <v>500</v>
      </c>
      <c r="N7">
        <v>26000</v>
      </c>
    </row>
    <row r="8" spans="1:14" x14ac:dyDescent="0.25">
      <c r="A8" t="s">
        <v>383</v>
      </c>
      <c r="F8" t="s">
        <v>409</v>
      </c>
      <c r="G8">
        <v>63</v>
      </c>
      <c r="H8" t="s">
        <v>400</v>
      </c>
      <c r="I8">
        <v>2500</v>
      </c>
    </row>
    <row r="9" spans="1:14" x14ac:dyDescent="0.25">
      <c r="A9" t="s">
        <v>386</v>
      </c>
      <c r="H9" t="s">
        <v>401</v>
      </c>
      <c r="I9">
        <v>500</v>
      </c>
    </row>
    <row r="10" spans="1:14" x14ac:dyDescent="0.25">
      <c r="H10" t="s">
        <v>402</v>
      </c>
      <c r="I10">
        <v>500</v>
      </c>
      <c r="M10" t="s">
        <v>205</v>
      </c>
      <c r="N10">
        <v>1300</v>
      </c>
    </row>
    <row r="11" spans="1:14" x14ac:dyDescent="0.25">
      <c r="F11" t="s">
        <v>393</v>
      </c>
      <c r="G11">
        <f>60+20+20+70</f>
        <v>170</v>
      </c>
      <c r="H11" t="s">
        <v>403</v>
      </c>
      <c r="I11">
        <v>1050</v>
      </c>
      <c r="M11" t="s">
        <v>387</v>
      </c>
      <c r="N11">
        <v>6500</v>
      </c>
    </row>
    <row r="12" spans="1:14" x14ac:dyDescent="0.25">
      <c r="F12" t="s">
        <v>394</v>
      </c>
      <c r="H12" t="s">
        <v>404</v>
      </c>
      <c r="I12">
        <v>500</v>
      </c>
    </row>
    <row r="13" spans="1:14" x14ac:dyDescent="0.25">
      <c r="A13" t="s">
        <v>382</v>
      </c>
      <c r="E13">
        <v>160</v>
      </c>
      <c r="H13" t="s">
        <v>405</v>
      </c>
      <c r="I13">
        <v>916</v>
      </c>
      <c r="M13" t="s">
        <v>213</v>
      </c>
      <c r="N13" t="s">
        <v>156</v>
      </c>
    </row>
    <row r="14" spans="1:14" x14ac:dyDescent="0.25">
      <c r="E14">
        <f>81+81</f>
        <v>162</v>
      </c>
      <c r="F14" t="s">
        <v>109</v>
      </c>
      <c r="G14">
        <f>85+60</f>
        <v>145</v>
      </c>
    </row>
    <row r="15" spans="1:14" ht="30" x14ac:dyDescent="0.25">
      <c r="E15">
        <f t="shared" ref="E15:E16" si="0">81+81</f>
        <v>162</v>
      </c>
      <c r="F15" s="2" t="s">
        <v>420</v>
      </c>
      <c r="G15">
        <v>250</v>
      </c>
    </row>
    <row r="16" spans="1:14" x14ac:dyDescent="0.25">
      <c r="E16">
        <f t="shared" si="0"/>
        <v>162</v>
      </c>
      <c r="F16" t="s">
        <v>421</v>
      </c>
      <c r="G16">
        <f>118+28+65</f>
        <v>211</v>
      </c>
      <c r="H16" t="s">
        <v>419</v>
      </c>
      <c r="I16">
        <v>300</v>
      </c>
      <c r="M16" t="s">
        <v>384</v>
      </c>
    </row>
    <row r="17" spans="1:14" x14ac:dyDescent="0.25">
      <c r="M17" t="s">
        <v>346</v>
      </c>
      <c r="N17">
        <v>23000</v>
      </c>
    </row>
    <row r="18" spans="1:14" x14ac:dyDescent="0.25">
      <c r="F18" t="s">
        <v>422</v>
      </c>
      <c r="G18">
        <v>100</v>
      </c>
      <c r="M18" t="s">
        <v>347</v>
      </c>
      <c r="N18">
        <f>21269-6500-1300</f>
        <v>13469</v>
      </c>
    </row>
    <row r="19" spans="1:14" x14ac:dyDescent="0.25">
      <c r="A19" t="s">
        <v>433</v>
      </c>
      <c r="E19">
        <v>74</v>
      </c>
      <c r="F19" t="s">
        <v>423</v>
      </c>
      <c r="G19">
        <v>20</v>
      </c>
      <c r="H19" t="s">
        <v>349</v>
      </c>
      <c r="I19">
        <v>850</v>
      </c>
      <c r="J19" t="s">
        <v>425</v>
      </c>
      <c r="K19">
        <v>740</v>
      </c>
      <c r="M19" t="s">
        <v>424</v>
      </c>
      <c r="N19" s="1">
        <f>SUM(N17:N18)</f>
        <v>36469</v>
      </c>
    </row>
    <row r="20" spans="1:14" x14ac:dyDescent="0.25">
      <c r="A20" t="s">
        <v>434</v>
      </c>
      <c r="F20" t="s">
        <v>437</v>
      </c>
      <c r="G20">
        <v>126</v>
      </c>
      <c r="J20" t="s">
        <v>198</v>
      </c>
      <c r="L20">
        <v>850</v>
      </c>
    </row>
    <row r="21" spans="1:14" x14ac:dyDescent="0.25">
      <c r="F21" t="s">
        <v>426</v>
      </c>
      <c r="G21">
        <v>400</v>
      </c>
      <c r="J21" t="s">
        <v>436</v>
      </c>
      <c r="K21">
        <v>60</v>
      </c>
    </row>
    <row r="22" spans="1:14" x14ac:dyDescent="0.25">
      <c r="F22" t="s">
        <v>105</v>
      </c>
      <c r="G22">
        <v>100</v>
      </c>
      <c r="H22" t="s">
        <v>427</v>
      </c>
      <c r="I22">
        <v>249</v>
      </c>
      <c r="J22" t="s">
        <v>31</v>
      </c>
      <c r="L22">
        <v>209</v>
      </c>
    </row>
    <row r="24" spans="1:14" x14ac:dyDescent="0.25">
      <c r="F24" t="s">
        <v>432</v>
      </c>
      <c r="G24">
        <v>114</v>
      </c>
      <c r="J24" t="s">
        <v>428</v>
      </c>
      <c r="K24">
        <v>61700</v>
      </c>
    </row>
    <row r="25" spans="1:14" x14ac:dyDescent="0.25">
      <c r="F25" t="s">
        <v>430</v>
      </c>
      <c r="G25">
        <v>85</v>
      </c>
      <c r="J25" t="s">
        <v>429</v>
      </c>
      <c r="K25">
        <v>1200</v>
      </c>
    </row>
    <row r="26" spans="1:14" x14ac:dyDescent="0.25">
      <c r="F26" t="s">
        <v>435</v>
      </c>
      <c r="G26">
        <f>80+60</f>
        <v>140</v>
      </c>
    </row>
    <row r="27" spans="1:14" x14ac:dyDescent="0.25">
      <c r="A27" t="s">
        <v>382</v>
      </c>
      <c r="E27">
        <f>81+81</f>
        <v>162</v>
      </c>
    </row>
    <row r="28" spans="1:14" x14ac:dyDescent="0.25">
      <c r="E28">
        <f t="shared" ref="E28:E29" si="1">81+81</f>
        <v>162</v>
      </c>
      <c r="F28" t="s">
        <v>439</v>
      </c>
      <c r="G28">
        <v>500</v>
      </c>
      <c r="J28" t="s">
        <v>101</v>
      </c>
      <c r="L28">
        <v>99</v>
      </c>
    </row>
    <row r="29" spans="1:14" x14ac:dyDescent="0.25">
      <c r="E29">
        <f t="shared" si="1"/>
        <v>162</v>
      </c>
      <c r="F29" t="s">
        <v>441</v>
      </c>
      <c r="G29">
        <v>136</v>
      </c>
      <c r="J29" t="s">
        <v>440</v>
      </c>
      <c r="K29">
        <v>600</v>
      </c>
    </row>
    <row r="30" spans="1:14" x14ac:dyDescent="0.25">
      <c r="E30">
        <v>340</v>
      </c>
      <c r="F30" t="s">
        <v>109</v>
      </c>
      <c r="G30">
        <v>50</v>
      </c>
    </row>
    <row r="31" spans="1:14" x14ac:dyDescent="0.25">
      <c r="F31" t="s">
        <v>442</v>
      </c>
      <c r="G31">
        <f>150+100</f>
        <v>250</v>
      </c>
    </row>
    <row r="32" spans="1:14" x14ac:dyDescent="0.25">
      <c r="B32">
        <f t="shared" ref="B32:I32" si="2">SUM(B2:B31)</f>
        <v>18040</v>
      </c>
      <c r="D32">
        <f t="shared" si="2"/>
        <v>19810</v>
      </c>
      <c r="E32">
        <f t="shared" si="2"/>
        <v>2392</v>
      </c>
      <c r="G32">
        <f t="shared" si="2"/>
        <v>3311</v>
      </c>
      <c r="I32">
        <f t="shared" si="2"/>
        <v>10825</v>
      </c>
      <c r="K32">
        <f t="shared" ref="K32" si="3">SUM(K2:K31)</f>
        <v>66800</v>
      </c>
      <c r="L32">
        <f t="shared" ref="L32" si="4">SUM(L2:L31)</f>
        <v>1158</v>
      </c>
      <c r="M32" s="1">
        <f>SUM(B32:L32)</f>
        <v>122336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F413-F44C-4C3A-8DD2-D50BEC1AABF6}">
  <dimension ref="A2:B3"/>
  <sheetViews>
    <sheetView workbookViewId="0">
      <selection activeCell="C5" sqref="C5"/>
    </sheetView>
  </sheetViews>
  <sheetFormatPr defaultRowHeight="15" x14ac:dyDescent="0.25"/>
  <cols>
    <col min="1" max="1" width="21.42578125" customWidth="1"/>
  </cols>
  <sheetData>
    <row r="2" spans="1:2" x14ac:dyDescent="0.25">
      <c r="A2" t="s">
        <v>431</v>
      </c>
      <c r="B2">
        <v>61700</v>
      </c>
    </row>
    <row r="3" spans="1:2" x14ac:dyDescent="0.25">
      <c r="A3" t="s">
        <v>429</v>
      </c>
      <c r="B3">
        <v>1159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29"/>
  <sheetViews>
    <sheetView topLeftCell="A8" workbookViewId="0">
      <selection activeCell="F29" sqref="F29"/>
    </sheetView>
  </sheetViews>
  <sheetFormatPr defaultRowHeight="15" x14ac:dyDescent="0.25"/>
  <cols>
    <col min="1" max="1" width="30" customWidth="1"/>
    <col min="4" max="4" width="18.85546875" customWidth="1"/>
  </cols>
  <sheetData>
    <row r="2" spans="1:5" x14ac:dyDescent="0.25">
      <c r="A2" t="s">
        <v>371</v>
      </c>
      <c r="E2" t="s">
        <v>372</v>
      </c>
    </row>
    <row r="3" spans="1:5" x14ac:dyDescent="0.25">
      <c r="E3" t="s">
        <v>418</v>
      </c>
    </row>
    <row r="4" spans="1:5" x14ac:dyDescent="0.25">
      <c r="A4" t="s">
        <v>345</v>
      </c>
      <c r="B4">
        <v>11510</v>
      </c>
      <c r="D4" t="s">
        <v>376</v>
      </c>
      <c r="E4">
        <v>11578</v>
      </c>
    </row>
    <row r="5" spans="1:5" x14ac:dyDescent="0.25">
      <c r="A5" t="s">
        <v>348</v>
      </c>
      <c r="B5">
        <v>26000</v>
      </c>
      <c r="D5" t="s">
        <v>375</v>
      </c>
      <c r="E5">
        <v>200</v>
      </c>
    </row>
    <row r="6" spans="1:5" x14ac:dyDescent="0.25">
      <c r="A6" t="s">
        <v>355</v>
      </c>
      <c r="B6">
        <v>1365</v>
      </c>
      <c r="D6" t="s">
        <v>407</v>
      </c>
      <c r="E6">
        <v>5000</v>
      </c>
    </row>
    <row r="7" spans="1:5" x14ac:dyDescent="0.25">
      <c r="A7" t="s">
        <v>365</v>
      </c>
      <c r="B7">
        <v>889</v>
      </c>
      <c r="D7" t="s">
        <v>408</v>
      </c>
      <c r="E7">
        <v>5000</v>
      </c>
    </row>
    <row r="8" spans="1:5" x14ac:dyDescent="0.25">
      <c r="A8" t="s">
        <v>370</v>
      </c>
      <c r="B8">
        <v>1104</v>
      </c>
      <c r="D8" t="s">
        <v>410</v>
      </c>
      <c r="E8">
        <v>220</v>
      </c>
    </row>
    <row r="9" spans="1:5" x14ac:dyDescent="0.25">
      <c r="A9" t="s">
        <v>364</v>
      </c>
      <c r="B9">
        <v>200</v>
      </c>
      <c r="D9" t="s">
        <v>411</v>
      </c>
      <c r="E9">
        <v>60</v>
      </c>
    </row>
    <row r="10" spans="1:5" x14ac:dyDescent="0.25">
      <c r="A10" t="s">
        <v>373</v>
      </c>
      <c r="B10">
        <v>873</v>
      </c>
      <c r="D10" t="s">
        <v>413</v>
      </c>
      <c r="E10">
        <v>500</v>
      </c>
    </row>
    <row r="11" spans="1:5" x14ac:dyDescent="0.25">
      <c r="A11" t="s">
        <v>374</v>
      </c>
      <c r="B11">
        <f>200+150</f>
        <v>350</v>
      </c>
      <c r="D11" t="s">
        <v>414</v>
      </c>
      <c r="E11">
        <v>50</v>
      </c>
    </row>
    <row r="12" spans="1:5" x14ac:dyDescent="0.25">
      <c r="A12" t="s">
        <v>379</v>
      </c>
      <c r="B12">
        <v>1581</v>
      </c>
      <c r="D12" t="s">
        <v>416</v>
      </c>
      <c r="E12">
        <v>680</v>
      </c>
    </row>
    <row r="13" spans="1:5" x14ac:dyDescent="0.25">
      <c r="D13" t="s">
        <v>415</v>
      </c>
      <c r="E13">
        <v>650</v>
      </c>
    </row>
    <row r="14" spans="1:5" x14ac:dyDescent="0.25">
      <c r="A14" t="s">
        <v>406</v>
      </c>
      <c r="B14">
        <v>358</v>
      </c>
      <c r="D14" t="s">
        <v>417</v>
      </c>
      <c r="E14">
        <v>150</v>
      </c>
    </row>
    <row r="15" spans="1:5" x14ac:dyDescent="0.25">
      <c r="A15" t="s">
        <v>391</v>
      </c>
      <c r="B15">
        <v>2200</v>
      </c>
      <c r="D15" t="s">
        <v>412</v>
      </c>
      <c r="E15">
        <v>400</v>
      </c>
    </row>
    <row r="16" spans="1:5" x14ac:dyDescent="0.25">
      <c r="A16" t="s">
        <v>392</v>
      </c>
      <c r="B16">
        <v>140</v>
      </c>
      <c r="E16">
        <v>100</v>
      </c>
    </row>
    <row r="17" spans="1:5" x14ac:dyDescent="0.25">
      <c r="E17">
        <v>50</v>
      </c>
    </row>
    <row r="18" spans="1:5" x14ac:dyDescent="0.25">
      <c r="A18" t="s">
        <v>395</v>
      </c>
      <c r="B18">
        <v>200</v>
      </c>
      <c r="E18">
        <v>100</v>
      </c>
    </row>
    <row r="19" spans="1:5" x14ac:dyDescent="0.25">
      <c r="A19" t="s">
        <v>398</v>
      </c>
      <c r="B19">
        <v>500</v>
      </c>
      <c r="E19">
        <v>1000</v>
      </c>
    </row>
    <row r="20" spans="1:5" x14ac:dyDescent="0.25">
      <c r="A20" t="s">
        <v>400</v>
      </c>
      <c r="B20">
        <v>2500</v>
      </c>
      <c r="E20">
        <v>210</v>
      </c>
    </row>
    <row r="21" spans="1:5" x14ac:dyDescent="0.25">
      <c r="A21" t="s">
        <v>401</v>
      </c>
      <c r="B21">
        <v>500</v>
      </c>
      <c r="E21">
        <v>60</v>
      </c>
    </row>
    <row r="22" spans="1:5" x14ac:dyDescent="0.25">
      <c r="A22" t="s">
        <v>402</v>
      </c>
      <c r="B22">
        <v>500</v>
      </c>
      <c r="E22">
        <v>90</v>
      </c>
    </row>
    <row r="23" spans="1:5" x14ac:dyDescent="0.25">
      <c r="A23" t="s">
        <v>403</v>
      </c>
      <c r="B23">
        <v>1050</v>
      </c>
      <c r="E23">
        <v>210</v>
      </c>
    </row>
    <row r="24" spans="1:5" x14ac:dyDescent="0.25">
      <c r="A24" t="s">
        <v>404</v>
      </c>
      <c r="B24">
        <v>500</v>
      </c>
      <c r="E24">
        <v>326</v>
      </c>
    </row>
    <row r="25" spans="1:5" x14ac:dyDescent="0.25">
      <c r="A25" t="s">
        <v>405</v>
      </c>
      <c r="B25">
        <v>916</v>
      </c>
      <c r="E25">
        <v>219</v>
      </c>
    </row>
    <row r="26" spans="1:5" x14ac:dyDescent="0.25">
      <c r="A26" t="s">
        <v>409</v>
      </c>
      <c r="B26">
        <v>63</v>
      </c>
      <c r="E26">
        <v>448</v>
      </c>
    </row>
    <row r="27" spans="1:5" x14ac:dyDescent="0.25">
      <c r="E27">
        <v>1430</v>
      </c>
    </row>
    <row r="29" spans="1:5" x14ac:dyDescent="0.25">
      <c r="B29" s="1">
        <f>SUM(B4:B26)</f>
        <v>53299</v>
      </c>
      <c r="E29" s="1">
        <f>SUM(E4:E27)</f>
        <v>28731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Nov</vt:lpstr>
      <vt:lpstr>Dec</vt:lpstr>
      <vt:lpstr>Belgium</vt:lpstr>
      <vt:lpstr>Manali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Vitthal Bhore</dc:creator>
  <cp:lastModifiedBy>Rupali Vitthal Bhore</cp:lastModifiedBy>
  <dcterms:created xsi:type="dcterms:W3CDTF">2022-01-05T03:48:35Z</dcterms:created>
  <dcterms:modified xsi:type="dcterms:W3CDTF">2022-12-30T08:15:44Z</dcterms:modified>
</cp:coreProperties>
</file>