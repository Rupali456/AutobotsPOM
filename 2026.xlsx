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rissoftware-my.sharepoint.com/personal/rupali_bhore_iris_co_uk/Documents/Desktop/PS/Expense/2026/"/>
    </mc:Choice>
  </mc:AlternateContent>
  <xr:revisionPtr revIDLastSave="360" documentId="11_F25DC773A252ABDACC104830695B61005BDE58F7" xr6:coauthVersionLast="47" xr6:coauthVersionMax="47" xr10:uidLastSave="{0F7E8D75-F287-447A-B915-939CC27D3FEB}"/>
  <bookViews>
    <workbookView xWindow="11268" yWindow="36" windowWidth="9816" windowHeight="10776" activeTab="2" xr2:uid="{00000000-000D-0000-FFFF-FFFF00000000}"/>
  </bookViews>
  <sheets>
    <sheet name="Jan" sheetId="1" r:id="rId1"/>
    <sheet name="Feb" sheetId="2" r:id="rId2"/>
    <sheet name="M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D32" i="3"/>
  <c r="E32" i="3"/>
  <c r="G32" i="3"/>
  <c r="I32" i="3"/>
  <c r="K32" i="3"/>
  <c r="M32" i="3"/>
  <c r="B32" i="3"/>
  <c r="G30" i="2"/>
  <c r="D30" i="2"/>
  <c r="E30" i="2"/>
  <c r="I30" i="2"/>
  <c r="N31" i="2" s="1"/>
  <c r="K30" i="2"/>
  <c r="M30" i="2"/>
  <c r="B30" i="2"/>
  <c r="N32" i="1"/>
  <c r="N33" i="1"/>
  <c r="E19" i="1"/>
  <c r="G32" i="1"/>
  <c r="E3" i="1"/>
  <c r="E32" i="1" s="1"/>
  <c r="D32" i="1"/>
  <c r="I32" i="1"/>
  <c r="K32" i="1"/>
  <c r="M32" i="1"/>
  <c r="B32" i="1"/>
  <c r="N32" i="3" l="1"/>
  <c r="N30" i="2"/>
</calcChain>
</file>

<file path=xl/sharedStrings.xml><?xml version="1.0" encoding="utf-8"?>
<sst xmlns="http://schemas.openxmlformats.org/spreadsheetml/2006/main" count="167" uniqueCount="112">
  <si>
    <t>Investments</t>
  </si>
  <si>
    <t>Monthly Emi</t>
  </si>
  <si>
    <t>petrol/transport</t>
  </si>
  <si>
    <t xml:space="preserve"> Grossary /festival/guest</t>
  </si>
  <si>
    <t>shopping/outing</t>
  </si>
  <si>
    <t>Other</t>
  </si>
  <si>
    <t>Personal expense</t>
  </si>
  <si>
    <t>MF</t>
  </si>
  <si>
    <t>PPF</t>
  </si>
  <si>
    <t>RD</t>
  </si>
  <si>
    <t>term plan</t>
  </si>
  <si>
    <t>aai</t>
  </si>
  <si>
    <t>bhishi</t>
  </si>
  <si>
    <t>NPS: 1.5L</t>
  </si>
  <si>
    <t>5K per month</t>
  </si>
  <si>
    <t>RD: 14K</t>
  </si>
  <si>
    <t>aai: 360K</t>
  </si>
  <si>
    <t>Mutual:710K</t>
  </si>
  <si>
    <t>3 BHK</t>
  </si>
  <si>
    <t>shashikala mavshi</t>
  </si>
  <si>
    <t>paper bill</t>
  </si>
  <si>
    <t>UC</t>
  </si>
  <si>
    <t>Ajji recharge</t>
  </si>
  <si>
    <t xml:space="preserve">linked in </t>
  </si>
  <si>
    <t>fruits</t>
  </si>
  <si>
    <t>khabia</t>
  </si>
  <si>
    <t>medicins</t>
  </si>
  <si>
    <t>cuff syrup</t>
  </si>
  <si>
    <t>Swaroopvardhini</t>
  </si>
  <si>
    <t>new year biryani</t>
  </si>
  <si>
    <t>cylinder</t>
  </si>
  <si>
    <t>shrikhand for bhore</t>
  </si>
  <si>
    <t>bhaji</t>
  </si>
  <si>
    <t>gul</t>
  </si>
  <si>
    <t>vics goli, strapcil for me and teju tai</t>
  </si>
  <si>
    <t>udemy</t>
  </si>
  <si>
    <t>gmail storage</t>
  </si>
  <si>
    <t>chaha, bhel in office</t>
  </si>
  <si>
    <t>sabudana papdi</t>
  </si>
  <si>
    <t>fuits</t>
  </si>
  <si>
    <t>fula</t>
  </si>
  <si>
    <t xml:space="preserve">1L ashu </t>
  </si>
  <si>
    <t>pohe brush: new year</t>
  </si>
  <si>
    <t>yogesh mamanna</t>
  </si>
  <si>
    <t>1.25K</t>
  </si>
  <si>
    <t>Me Ashu</t>
  </si>
  <si>
    <t>1L</t>
  </si>
  <si>
    <t>kulup, hawa bharli</t>
  </si>
  <si>
    <t>burger when I was hungry at mtro station</t>
  </si>
  <si>
    <t>serum , castor oil/ rojmery</t>
  </si>
  <si>
    <t>sofa cover</t>
  </si>
  <si>
    <t>dubai shopping</t>
  </si>
  <si>
    <t>hair cut</t>
  </si>
  <si>
    <t>pineapple</t>
  </si>
  <si>
    <t>khrawas chik</t>
  </si>
  <si>
    <t>pear and musk melon</t>
  </si>
  <si>
    <t>cible score check</t>
  </si>
  <si>
    <t>bra</t>
  </si>
  <si>
    <t>meesho shopping dubai</t>
  </si>
  <si>
    <t>coffee in office</t>
  </si>
  <si>
    <t>disel from goan to Pune</t>
  </si>
  <si>
    <t>dalimb</t>
  </si>
  <si>
    <t>ashu retur the 1L</t>
  </si>
  <si>
    <t>Mobile for Mummy</t>
  </si>
  <si>
    <t xml:space="preserve">print </t>
  </si>
  <si>
    <t>tak sabudana papdi</t>
  </si>
  <si>
    <t>grapes apple pear</t>
  </si>
  <si>
    <t>CCD with yogesh</t>
  </si>
  <si>
    <t>servicing</t>
  </si>
  <si>
    <t>RD: 21K</t>
  </si>
  <si>
    <t>aai: 365K</t>
  </si>
  <si>
    <t>Vi</t>
  </si>
  <si>
    <t xml:space="preserve">amazon shopping </t>
  </si>
  <si>
    <t>dubai</t>
  </si>
  <si>
    <t>watch repair</t>
  </si>
  <si>
    <t>disposable plates</t>
  </si>
  <si>
    <t>pani puri saman</t>
  </si>
  <si>
    <t>straberries</t>
  </si>
  <si>
    <t>dahi</t>
  </si>
  <si>
    <t>kohla fula</t>
  </si>
  <si>
    <t>bhaji, keli</t>
  </si>
  <si>
    <t xml:space="preserve">udemy </t>
  </si>
  <si>
    <t>vegitable premixes</t>
  </si>
  <si>
    <t>yogesh dubai shopping</t>
  </si>
  <si>
    <t>massage for him</t>
  </si>
  <si>
    <t>internation romaing jio</t>
  </si>
  <si>
    <t>zandu blam</t>
  </si>
  <si>
    <t>sleeping mask, volomi spray</t>
  </si>
  <si>
    <t>suka khau for dubai, snacks</t>
  </si>
  <si>
    <t>mumbai airport to pune</t>
  </si>
  <si>
    <t>dinner while leaving</t>
  </si>
  <si>
    <t>chinese boxes</t>
  </si>
  <si>
    <t>pani bottle</t>
  </si>
  <si>
    <t>ring</t>
  </si>
  <si>
    <t>earing aai</t>
  </si>
  <si>
    <t>ATM chares for cash dubai</t>
  </si>
  <si>
    <t>yogesh gave 5 K</t>
  </si>
  <si>
    <t>Mutual:734K</t>
  </si>
  <si>
    <t>Mutual:759K</t>
  </si>
  <si>
    <t>RD: 28K</t>
  </si>
  <si>
    <t>kitty</t>
  </si>
  <si>
    <t>aai: 370K</t>
  </si>
  <si>
    <t>shoes, socs CC</t>
  </si>
  <si>
    <t>jio</t>
  </si>
  <si>
    <t>yogesh is not suppose to give 5K for this month</t>
  </si>
  <si>
    <t>charger for mummy</t>
  </si>
  <si>
    <t>mobile</t>
  </si>
  <si>
    <t>batate, shahala</t>
  </si>
  <si>
    <t>medicines for me</t>
  </si>
  <si>
    <t>shahala, ORS, thermometer</t>
  </si>
  <si>
    <t xml:space="preserve"> women's day contri</t>
  </si>
  <si>
    <t>big 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</si>
</sst>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workbookViewId="0">
      <pane ySplit="1" topLeftCell="A16" activePane="bottomLeft" state="frozen"/>
      <selection pane="bottomLeft" activeCell="O3" sqref="O3:P3"/>
    </sheetView>
  </sheetViews>
  <sheetFormatPr defaultRowHeight="14.4" x14ac:dyDescent="0.3"/>
  <cols>
    <col min="1" max="1" width="15.88671875" customWidth="1"/>
    <col min="2" max="2" width="9.33203125" customWidth="1"/>
    <col min="3" max="3" width="16.5546875" customWidth="1"/>
    <col min="5" max="5" width="23" customWidth="1"/>
    <col min="6" max="6" width="30.44140625" customWidth="1"/>
    <col min="8" max="8" width="20.5546875" customWidth="1"/>
    <col min="10" max="10" width="12.33203125" customWidth="1"/>
    <col min="12" max="12" width="21" customWidth="1"/>
  </cols>
  <sheetData>
    <row r="1" spans="1:16" x14ac:dyDescent="0.3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6" x14ac:dyDescent="0.3">
      <c r="A2" t="s">
        <v>7</v>
      </c>
      <c r="B2">
        <v>25000</v>
      </c>
      <c r="C2" t="s">
        <v>18</v>
      </c>
      <c r="D2">
        <v>36500</v>
      </c>
      <c r="E2">
        <v>190</v>
      </c>
      <c r="F2" t="s">
        <v>20</v>
      </c>
      <c r="G2">
        <v>247</v>
      </c>
    </row>
    <row r="3" spans="1:16" x14ac:dyDescent="0.3">
      <c r="A3" t="s">
        <v>8</v>
      </c>
      <c r="B3">
        <v>5000</v>
      </c>
      <c r="C3" s="2" t="s">
        <v>19</v>
      </c>
      <c r="D3">
        <v>1700</v>
      </c>
      <c r="E3">
        <f>106+360</f>
        <v>466</v>
      </c>
      <c r="F3" t="s">
        <v>24</v>
      </c>
      <c r="G3">
        <v>270</v>
      </c>
      <c r="J3" t="s">
        <v>25</v>
      </c>
      <c r="K3">
        <v>150</v>
      </c>
      <c r="O3" t="s">
        <v>43</v>
      </c>
      <c r="P3" t="s">
        <v>44</v>
      </c>
    </row>
    <row r="4" spans="1:16" x14ac:dyDescent="0.3">
      <c r="A4" t="s">
        <v>9</v>
      </c>
      <c r="B4">
        <v>7000</v>
      </c>
      <c r="C4" t="s">
        <v>28</v>
      </c>
      <c r="D4">
        <v>21000</v>
      </c>
      <c r="E4">
        <v>190</v>
      </c>
      <c r="F4" t="s">
        <v>29</v>
      </c>
      <c r="G4">
        <v>1025</v>
      </c>
      <c r="J4" t="s">
        <v>26</v>
      </c>
      <c r="K4">
        <v>1440</v>
      </c>
      <c r="O4" t="s">
        <v>45</v>
      </c>
      <c r="P4" t="s">
        <v>46</v>
      </c>
    </row>
    <row r="5" spans="1:16" x14ac:dyDescent="0.3">
      <c r="A5" t="s">
        <v>10</v>
      </c>
      <c r="B5">
        <v>2668</v>
      </c>
      <c r="C5" t="s">
        <v>63</v>
      </c>
      <c r="D5">
        <v>17000</v>
      </c>
      <c r="E5">
        <v>190</v>
      </c>
      <c r="F5" t="s">
        <v>30</v>
      </c>
      <c r="G5">
        <v>890</v>
      </c>
      <c r="J5" t="s">
        <v>27</v>
      </c>
      <c r="K5">
        <v>183</v>
      </c>
      <c r="L5" t="s">
        <v>21</v>
      </c>
      <c r="M5">
        <v>2070</v>
      </c>
    </row>
    <row r="6" spans="1:16" x14ac:dyDescent="0.3">
      <c r="A6" t="s">
        <v>11</v>
      </c>
      <c r="B6">
        <v>3000</v>
      </c>
      <c r="E6">
        <v>282</v>
      </c>
      <c r="F6" t="s">
        <v>31</v>
      </c>
      <c r="G6">
        <v>300</v>
      </c>
      <c r="L6" t="s">
        <v>22</v>
      </c>
      <c r="M6">
        <v>200</v>
      </c>
    </row>
    <row r="7" spans="1:16" x14ac:dyDescent="0.3">
      <c r="A7" t="s">
        <v>12</v>
      </c>
      <c r="B7">
        <v>1000</v>
      </c>
      <c r="F7" t="s">
        <v>42</v>
      </c>
      <c r="G7">
        <v>270</v>
      </c>
    </row>
    <row r="8" spans="1:16" x14ac:dyDescent="0.3">
      <c r="F8" t="s">
        <v>34</v>
      </c>
      <c r="G8">
        <v>50</v>
      </c>
      <c r="J8" t="s">
        <v>35</v>
      </c>
      <c r="K8">
        <v>399</v>
      </c>
    </row>
    <row r="9" spans="1:16" x14ac:dyDescent="0.3">
      <c r="F9" t="s">
        <v>32</v>
      </c>
      <c r="G9">
        <v>282</v>
      </c>
      <c r="J9" t="s">
        <v>36</v>
      </c>
      <c r="K9">
        <v>499</v>
      </c>
      <c r="L9" t="s">
        <v>23</v>
      </c>
      <c r="M9">
        <v>750</v>
      </c>
    </row>
    <row r="10" spans="1:16" x14ac:dyDescent="0.3">
      <c r="E10">
        <v>200</v>
      </c>
      <c r="F10" t="s">
        <v>33</v>
      </c>
      <c r="G10">
        <v>100</v>
      </c>
      <c r="J10" t="s">
        <v>37</v>
      </c>
      <c r="L10" t="s">
        <v>68</v>
      </c>
      <c r="M10">
        <v>1139</v>
      </c>
    </row>
    <row r="11" spans="1:16" x14ac:dyDescent="0.3">
      <c r="E11">
        <v>190</v>
      </c>
      <c r="F11" t="s">
        <v>24</v>
      </c>
      <c r="G11">
        <v>270</v>
      </c>
      <c r="K11">
        <v>95</v>
      </c>
    </row>
    <row r="12" spans="1:16" x14ac:dyDescent="0.3">
      <c r="E12">
        <v>190</v>
      </c>
      <c r="F12" t="s">
        <v>32</v>
      </c>
      <c r="G12">
        <v>310</v>
      </c>
    </row>
    <row r="13" spans="1:16" x14ac:dyDescent="0.3">
      <c r="A13" t="s">
        <v>17</v>
      </c>
      <c r="E13">
        <v>200</v>
      </c>
      <c r="F13" t="s">
        <v>38</v>
      </c>
      <c r="G13">
        <v>35</v>
      </c>
    </row>
    <row r="14" spans="1:16" x14ac:dyDescent="0.3">
      <c r="A14" t="s">
        <v>15</v>
      </c>
      <c r="F14" t="s">
        <v>32</v>
      </c>
      <c r="G14">
        <v>90</v>
      </c>
    </row>
    <row r="15" spans="1:16" x14ac:dyDescent="0.3">
      <c r="A15" t="s">
        <v>13</v>
      </c>
      <c r="E15">
        <v>300</v>
      </c>
      <c r="F15" t="s">
        <v>39</v>
      </c>
      <c r="G15">
        <v>200</v>
      </c>
      <c r="H15" t="s">
        <v>52</v>
      </c>
      <c r="I15">
        <v>400</v>
      </c>
    </row>
    <row r="16" spans="1:16" x14ac:dyDescent="0.3">
      <c r="B16" t="s">
        <v>41</v>
      </c>
      <c r="E16">
        <v>190</v>
      </c>
      <c r="F16" t="s">
        <v>40</v>
      </c>
      <c r="G16">
        <v>40</v>
      </c>
      <c r="H16" t="s">
        <v>49</v>
      </c>
      <c r="I16">
        <v>1388</v>
      </c>
    </row>
    <row r="17" spans="1:14" x14ac:dyDescent="0.3">
      <c r="E17">
        <v>190</v>
      </c>
      <c r="F17" t="s">
        <v>47</v>
      </c>
      <c r="G17">
        <v>35</v>
      </c>
      <c r="H17" t="s">
        <v>50</v>
      </c>
      <c r="I17">
        <v>1427</v>
      </c>
    </row>
    <row r="18" spans="1:14" x14ac:dyDescent="0.3">
      <c r="A18" t="s">
        <v>16</v>
      </c>
      <c r="F18" t="s">
        <v>48</v>
      </c>
      <c r="G18">
        <v>150</v>
      </c>
      <c r="H18" t="s">
        <v>51</v>
      </c>
      <c r="I18">
        <v>1667</v>
      </c>
    </row>
    <row r="19" spans="1:14" x14ac:dyDescent="0.3">
      <c r="A19" t="s">
        <v>14</v>
      </c>
      <c r="E19">
        <f>132+130+132+130</f>
        <v>524</v>
      </c>
      <c r="F19" t="s">
        <v>53</v>
      </c>
      <c r="G19">
        <v>120</v>
      </c>
      <c r="H19" t="s">
        <v>57</v>
      </c>
      <c r="I19">
        <v>500</v>
      </c>
    </row>
    <row r="20" spans="1:14" x14ac:dyDescent="0.3">
      <c r="F20" t="s">
        <v>54</v>
      </c>
      <c r="G20">
        <v>80</v>
      </c>
    </row>
    <row r="21" spans="1:14" x14ac:dyDescent="0.3">
      <c r="F21" t="s">
        <v>55</v>
      </c>
      <c r="G21">
        <v>200</v>
      </c>
      <c r="H21" t="s">
        <v>58</v>
      </c>
      <c r="I21">
        <v>1075</v>
      </c>
    </row>
    <row r="22" spans="1:14" x14ac:dyDescent="0.3">
      <c r="F22" t="s">
        <v>32</v>
      </c>
      <c r="G22">
        <v>175</v>
      </c>
      <c r="H22" t="s">
        <v>56</v>
      </c>
      <c r="I22">
        <v>440</v>
      </c>
    </row>
    <row r="23" spans="1:14" x14ac:dyDescent="0.3">
      <c r="E23">
        <v>112</v>
      </c>
      <c r="F23" t="s">
        <v>60</v>
      </c>
      <c r="G23">
        <v>1800</v>
      </c>
      <c r="H23" t="s">
        <v>59</v>
      </c>
      <c r="I23">
        <v>43</v>
      </c>
    </row>
    <row r="24" spans="1:14" x14ac:dyDescent="0.3">
      <c r="B24" t="s">
        <v>62</v>
      </c>
      <c r="E24">
        <v>190</v>
      </c>
      <c r="F24" t="s">
        <v>61</v>
      </c>
      <c r="G24">
        <v>100</v>
      </c>
      <c r="H24" t="s">
        <v>64</v>
      </c>
      <c r="I24">
        <v>30</v>
      </c>
    </row>
    <row r="25" spans="1:14" x14ac:dyDescent="0.3">
      <c r="E25">
        <v>190</v>
      </c>
      <c r="F25" t="s">
        <v>32</v>
      </c>
      <c r="G25">
        <v>130</v>
      </c>
    </row>
    <row r="26" spans="1:14" x14ac:dyDescent="0.3">
      <c r="E26">
        <v>190</v>
      </c>
      <c r="F26" t="s">
        <v>40</v>
      </c>
      <c r="G26">
        <v>40</v>
      </c>
    </row>
    <row r="27" spans="1:14" x14ac:dyDescent="0.3">
      <c r="F27" t="s">
        <v>65</v>
      </c>
      <c r="G27">
        <v>55</v>
      </c>
    </row>
    <row r="28" spans="1:14" x14ac:dyDescent="0.3">
      <c r="F28" t="s">
        <v>66</v>
      </c>
      <c r="G28">
        <v>300</v>
      </c>
    </row>
    <row r="29" spans="1:14" x14ac:dyDescent="0.3">
      <c r="H29" t="s">
        <v>67</v>
      </c>
      <c r="I29">
        <v>11125</v>
      </c>
    </row>
    <row r="32" spans="1:14" x14ac:dyDescent="0.3">
      <c r="B32">
        <f>SUM(B2:B31)</f>
        <v>43668</v>
      </c>
      <c r="D32">
        <f t="shared" ref="D32:M32" si="0">SUM(D2:D31)</f>
        <v>76200</v>
      </c>
      <c r="E32">
        <f t="shared" si="0"/>
        <v>3984</v>
      </c>
      <c r="G32">
        <f>SUM(G2:G31)-5000</f>
        <v>2564</v>
      </c>
      <c r="I32">
        <f t="shared" si="0"/>
        <v>18095</v>
      </c>
      <c r="K32">
        <f t="shared" si="0"/>
        <v>2766</v>
      </c>
      <c r="M32">
        <f t="shared" si="0"/>
        <v>4159</v>
      </c>
      <c r="N32">
        <f>SUM(B32:M32)</f>
        <v>151436</v>
      </c>
    </row>
    <row r="33" spans="14:14" x14ac:dyDescent="0.3">
      <c r="N33">
        <f>SUM(B32:M32)-21000-17000</f>
        <v>113436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A574-92A0-46D7-A394-6368E61B7F81}">
  <dimension ref="A1:P31"/>
  <sheetViews>
    <sheetView workbookViewId="0">
      <pane ySplit="1" topLeftCell="A12" activePane="bottomLeft" state="frozen"/>
      <selection pane="bottomLeft" activeCell="H15" sqref="H15"/>
    </sheetView>
  </sheetViews>
  <sheetFormatPr defaultRowHeight="14.4" x14ac:dyDescent="0.3"/>
  <cols>
    <col min="1" max="1" width="14.109375" customWidth="1"/>
    <col min="3" max="3" width="11.109375" customWidth="1"/>
    <col min="5" max="5" width="19.33203125" customWidth="1"/>
    <col min="6" max="6" width="22.33203125" customWidth="1"/>
    <col min="8" max="8" width="17.44140625" customWidth="1"/>
    <col min="12" max="12" width="20" customWidth="1"/>
  </cols>
  <sheetData>
    <row r="1" spans="1:16" x14ac:dyDescent="0.3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6" x14ac:dyDescent="0.3">
      <c r="A2" t="s">
        <v>7</v>
      </c>
      <c r="B2">
        <v>25000</v>
      </c>
      <c r="C2" t="s">
        <v>18</v>
      </c>
      <c r="D2">
        <v>36500</v>
      </c>
      <c r="E2">
        <v>190</v>
      </c>
      <c r="F2" t="s">
        <v>20</v>
      </c>
      <c r="G2">
        <v>247</v>
      </c>
      <c r="H2" t="s">
        <v>72</v>
      </c>
      <c r="I2">
        <v>2454</v>
      </c>
    </row>
    <row r="3" spans="1:16" ht="28.8" x14ac:dyDescent="0.3">
      <c r="A3" t="s">
        <v>8</v>
      </c>
      <c r="B3">
        <v>5000</v>
      </c>
      <c r="C3" s="2" t="s">
        <v>19</v>
      </c>
      <c r="D3">
        <v>1700</v>
      </c>
      <c r="E3">
        <v>190</v>
      </c>
      <c r="F3" t="s">
        <v>32</v>
      </c>
      <c r="G3">
        <v>190</v>
      </c>
      <c r="H3" t="s">
        <v>73</v>
      </c>
      <c r="O3" t="s">
        <v>43</v>
      </c>
      <c r="P3" t="s">
        <v>44</v>
      </c>
    </row>
    <row r="4" spans="1:16" x14ac:dyDescent="0.3">
      <c r="A4" t="s">
        <v>9</v>
      </c>
      <c r="B4">
        <v>7000</v>
      </c>
      <c r="C4" t="s">
        <v>94</v>
      </c>
      <c r="D4">
        <v>137631</v>
      </c>
      <c r="E4">
        <v>190</v>
      </c>
      <c r="F4" t="s">
        <v>75</v>
      </c>
      <c r="G4">
        <v>520</v>
      </c>
      <c r="H4" t="s">
        <v>74</v>
      </c>
      <c r="I4">
        <v>280</v>
      </c>
    </row>
    <row r="5" spans="1:16" x14ac:dyDescent="0.3">
      <c r="A5" t="s">
        <v>10</v>
      </c>
      <c r="B5">
        <v>2668</v>
      </c>
      <c r="C5" t="s">
        <v>93</v>
      </c>
      <c r="F5" t="s">
        <v>77</v>
      </c>
      <c r="G5">
        <v>50</v>
      </c>
      <c r="H5" t="s">
        <v>81</v>
      </c>
      <c r="I5">
        <v>1829</v>
      </c>
    </row>
    <row r="6" spans="1:16" x14ac:dyDescent="0.3">
      <c r="A6" t="s">
        <v>11</v>
      </c>
      <c r="B6">
        <v>3000</v>
      </c>
      <c r="C6" t="s">
        <v>73</v>
      </c>
      <c r="F6" t="s">
        <v>78</v>
      </c>
      <c r="G6">
        <v>30</v>
      </c>
      <c r="L6" t="s">
        <v>21</v>
      </c>
      <c r="M6">
        <v>1985</v>
      </c>
    </row>
    <row r="7" spans="1:16" x14ac:dyDescent="0.3">
      <c r="F7" t="s">
        <v>79</v>
      </c>
      <c r="G7">
        <v>130</v>
      </c>
      <c r="L7" t="s">
        <v>22</v>
      </c>
      <c r="M7">
        <v>200</v>
      </c>
    </row>
    <row r="8" spans="1:16" x14ac:dyDescent="0.3">
      <c r="F8" t="s">
        <v>32</v>
      </c>
      <c r="G8">
        <v>243</v>
      </c>
      <c r="H8" t="s">
        <v>83</v>
      </c>
      <c r="L8" t="s">
        <v>71</v>
      </c>
      <c r="M8">
        <v>199</v>
      </c>
    </row>
    <row r="9" spans="1:16" x14ac:dyDescent="0.3">
      <c r="E9">
        <v>190</v>
      </c>
      <c r="F9" t="s">
        <v>53</v>
      </c>
      <c r="G9">
        <v>100</v>
      </c>
      <c r="H9" t="s">
        <v>84</v>
      </c>
      <c r="I9">
        <v>3622</v>
      </c>
    </row>
    <row r="10" spans="1:16" x14ac:dyDescent="0.3">
      <c r="E10">
        <v>190</v>
      </c>
      <c r="F10" t="s">
        <v>80</v>
      </c>
      <c r="G10">
        <v>214</v>
      </c>
      <c r="H10" t="s">
        <v>102</v>
      </c>
      <c r="I10">
        <v>1249</v>
      </c>
      <c r="L10" t="s">
        <v>23</v>
      </c>
      <c r="M10">
        <v>750</v>
      </c>
    </row>
    <row r="11" spans="1:16" x14ac:dyDescent="0.3">
      <c r="E11">
        <v>190</v>
      </c>
      <c r="F11" t="s">
        <v>76</v>
      </c>
      <c r="G11">
        <v>845</v>
      </c>
      <c r="I11">
        <v>1952</v>
      </c>
      <c r="L11" t="s">
        <v>103</v>
      </c>
      <c r="M11">
        <v>799</v>
      </c>
    </row>
    <row r="12" spans="1:16" x14ac:dyDescent="0.3">
      <c r="F12" t="s">
        <v>82</v>
      </c>
      <c r="G12">
        <v>348</v>
      </c>
      <c r="L12" t="s">
        <v>85</v>
      </c>
      <c r="M12">
        <v>1600</v>
      </c>
    </row>
    <row r="13" spans="1:16" x14ac:dyDescent="0.3">
      <c r="A13" t="s">
        <v>97</v>
      </c>
      <c r="F13" t="s">
        <v>87</v>
      </c>
      <c r="G13">
        <v>520</v>
      </c>
      <c r="H13" t="s">
        <v>105</v>
      </c>
      <c r="L13" t="s">
        <v>95</v>
      </c>
      <c r="M13">
        <v>502</v>
      </c>
    </row>
    <row r="14" spans="1:16" x14ac:dyDescent="0.3">
      <c r="A14" t="s">
        <v>69</v>
      </c>
      <c r="E14">
        <v>425</v>
      </c>
      <c r="F14" t="s">
        <v>86</v>
      </c>
      <c r="H14" t="s">
        <v>106</v>
      </c>
      <c r="I14">
        <v>599</v>
      </c>
    </row>
    <row r="15" spans="1:16" x14ac:dyDescent="0.3">
      <c r="A15" t="s">
        <v>13</v>
      </c>
      <c r="E15">
        <v>435</v>
      </c>
      <c r="F15" t="s">
        <v>88</v>
      </c>
      <c r="G15">
        <v>602</v>
      </c>
    </row>
    <row r="16" spans="1:16" x14ac:dyDescent="0.3">
      <c r="F16" t="s">
        <v>79</v>
      </c>
      <c r="G16">
        <v>120</v>
      </c>
    </row>
    <row r="18" spans="1:14" x14ac:dyDescent="0.3">
      <c r="A18" t="s">
        <v>70</v>
      </c>
    </row>
    <row r="19" spans="1:14" x14ac:dyDescent="0.3">
      <c r="A19" t="s">
        <v>14</v>
      </c>
    </row>
    <row r="21" spans="1:14" x14ac:dyDescent="0.3">
      <c r="F21" t="s">
        <v>73</v>
      </c>
    </row>
    <row r="22" spans="1:14" x14ac:dyDescent="0.3">
      <c r="F22" t="s">
        <v>92</v>
      </c>
      <c r="G22">
        <v>50</v>
      </c>
    </row>
    <row r="23" spans="1:14" x14ac:dyDescent="0.3">
      <c r="A23" t="s">
        <v>89</v>
      </c>
      <c r="E23">
        <v>3245</v>
      </c>
      <c r="F23" t="s">
        <v>90</v>
      </c>
      <c r="G23">
        <v>1225</v>
      </c>
    </row>
    <row r="24" spans="1:14" x14ac:dyDescent="0.3">
      <c r="F24" t="s">
        <v>91</v>
      </c>
    </row>
    <row r="30" spans="1:14" x14ac:dyDescent="0.3">
      <c r="B30">
        <f>SUM(B2:B29)</f>
        <v>42668</v>
      </c>
      <c r="D30">
        <f t="shared" ref="D30:M30" si="0">SUM(D2:D29)</f>
        <v>175831</v>
      </c>
      <c r="E30">
        <f t="shared" si="0"/>
        <v>5245</v>
      </c>
      <c r="G30">
        <f>SUM(G2:G29)-5000</f>
        <v>434</v>
      </c>
      <c r="I30">
        <f t="shared" si="0"/>
        <v>11985</v>
      </c>
      <c r="K30">
        <f t="shared" si="0"/>
        <v>0</v>
      </c>
      <c r="M30">
        <f t="shared" si="0"/>
        <v>6035</v>
      </c>
      <c r="N30">
        <f>SUM(B30:M30)</f>
        <v>242198</v>
      </c>
    </row>
    <row r="31" spans="1:14" x14ac:dyDescent="0.3">
      <c r="F31" t="s">
        <v>96</v>
      </c>
      <c r="N31" s="1">
        <f>SUM(B30:M30)-D4</f>
        <v>104567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36CF-54AD-4F23-8F71-74124007347E}">
  <dimension ref="A1:P33"/>
  <sheetViews>
    <sheetView tabSelected="1" topLeftCell="D1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3.5546875" customWidth="1"/>
    <col min="3" max="3" width="13.109375" customWidth="1"/>
    <col min="6" max="6" width="23.5546875" customWidth="1"/>
    <col min="12" max="12" width="20" customWidth="1"/>
  </cols>
  <sheetData>
    <row r="1" spans="1:16" x14ac:dyDescent="0.3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6" x14ac:dyDescent="0.3">
      <c r="A2" t="s">
        <v>7</v>
      </c>
      <c r="B2">
        <v>25000</v>
      </c>
      <c r="C2" t="s">
        <v>18</v>
      </c>
      <c r="D2">
        <v>36500</v>
      </c>
      <c r="F2" t="s">
        <v>20</v>
      </c>
      <c r="G2">
        <v>216</v>
      </c>
    </row>
    <row r="3" spans="1:16" ht="28.8" x14ac:dyDescent="0.3">
      <c r="A3" t="s">
        <v>8</v>
      </c>
      <c r="B3">
        <v>5000</v>
      </c>
      <c r="C3" s="2" t="s">
        <v>19</v>
      </c>
      <c r="D3">
        <v>1700</v>
      </c>
      <c r="E3">
        <v>190</v>
      </c>
      <c r="F3" t="s">
        <v>107</v>
      </c>
      <c r="G3">
        <v>159</v>
      </c>
      <c r="O3" t="s">
        <v>43</v>
      </c>
      <c r="P3" t="s">
        <v>44</v>
      </c>
    </row>
    <row r="4" spans="1:16" x14ac:dyDescent="0.3">
      <c r="A4" t="s">
        <v>9</v>
      </c>
      <c r="B4">
        <v>7000</v>
      </c>
      <c r="E4">
        <v>190</v>
      </c>
      <c r="F4" t="s">
        <v>108</v>
      </c>
      <c r="G4">
        <f>263+221</f>
        <v>484</v>
      </c>
    </row>
    <row r="5" spans="1:16" x14ac:dyDescent="0.3">
      <c r="A5" t="s">
        <v>10</v>
      </c>
      <c r="B5">
        <v>2668</v>
      </c>
      <c r="F5" t="s">
        <v>109</v>
      </c>
      <c r="G5">
        <v>329</v>
      </c>
    </row>
    <row r="6" spans="1:16" x14ac:dyDescent="0.3">
      <c r="A6" t="s">
        <v>11</v>
      </c>
      <c r="B6">
        <v>3000</v>
      </c>
      <c r="F6" t="s">
        <v>110</v>
      </c>
      <c r="G6">
        <v>400</v>
      </c>
    </row>
    <row r="7" spans="1:16" x14ac:dyDescent="0.3">
      <c r="A7" t="s">
        <v>100</v>
      </c>
      <c r="B7">
        <v>1000</v>
      </c>
      <c r="F7" t="s">
        <v>111</v>
      </c>
      <c r="G7">
        <v>202</v>
      </c>
      <c r="L7" t="s">
        <v>21</v>
      </c>
      <c r="M7">
        <v>1985</v>
      </c>
    </row>
    <row r="8" spans="1:16" x14ac:dyDescent="0.3">
      <c r="L8" t="s">
        <v>22</v>
      </c>
      <c r="M8">
        <v>200</v>
      </c>
    </row>
    <row r="9" spans="1:16" x14ac:dyDescent="0.3">
      <c r="E9">
        <v>190</v>
      </c>
    </row>
    <row r="10" spans="1:16" x14ac:dyDescent="0.3">
      <c r="E10">
        <v>190</v>
      </c>
    </row>
    <row r="11" spans="1:16" x14ac:dyDescent="0.3">
      <c r="E11">
        <v>190</v>
      </c>
    </row>
    <row r="13" spans="1:16" x14ac:dyDescent="0.3">
      <c r="A13" t="s">
        <v>98</v>
      </c>
      <c r="E13">
        <v>450</v>
      </c>
    </row>
    <row r="14" spans="1:16" x14ac:dyDescent="0.3">
      <c r="A14" t="s">
        <v>99</v>
      </c>
    </row>
    <row r="15" spans="1:16" x14ac:dyDescent="0.3">
      <c r="A15" t="s">
        <v>13</v>
      </c>
    </row>
    <row r="18" spans="1:14" x14ac:dyDescent="0.3">
      <c r="A18" t="s">
        <v>101</v>
      </c>
    </row>
    <row r="19" spans="1:14" x14ac:dyDescent="0.3">
      <c r="A19" t="s">
        <v>14</v>
      </c>
    </row>
    <row r="32" spans="1:14" x14ac:dyDescent="0.3">
      <c r="B32">
        <f>SUM(B2:B31)</f>
        <v>43668</v>
      </c>
      <c r="D32">
        <f t="shared" ref="D32:M32" si="0">SUM(D2:D31)</f>
        <v>38200</v>
      </c>
      <c r="E32">
        <f t="shared" si="0"/>
        <v>1400</v>
      </c>
      <c r="G32">
        <f t="shared" si="0"/>
        <v>1790</v>
      </c>
      <c r="I32">
        <f t="shared" si="0"/>
        <v>0</v>
      </c>
      <c r="K32">
        <f t="shared" si="0"/>
        <v>0</v>
      </c>
      <c r="M32">
        <f t="shared" si="0"/>
        <v>2185</v>
      </c>
      <c r="N32">
        <f>SUM(B32:M32)</f>
        <v>87243</v>
      </c>
    </row>
    <row r="33" spans="6:6" ht="28.8" x14ac:dyDescent="0.3">
      <c r="F33" s="2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Vitthal Bhore</dc:creator>
  <cp:lastModifiedBy>Rupali Bhore</cp:lastModifiedBy>
  <dcterms:created xsi:type="dcterms:W3CDTF">2015-06-05T18:17:20Z</dcterms:created>
  <dcterms:modified xsi:type="dcterms:W3CDTF">2026-03-09T08:38:29Z</dcterms:modified>
</cp:coreProperties>
</file>