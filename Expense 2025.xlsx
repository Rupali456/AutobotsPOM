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to copy in laptop\PS\Expense\2025\"/>
    </mc:Choice>
  </mc:AlternateContent>
  <xr:revisionPtr revIDLastSave="0" documentId="13_ncr:1_{5334D205-571A-4795-B734-F201D3952425}" xr6:coauthVersionLast="47" xr6:coauthVersionMax="47" xr10:uidLastSave="{00000000-0000-0000-0000-000000000000}"/>
  <bookViews>
    <workbookView xWindow="-120" yWindow="-120" windowWidth="20730" windowHeight="11160" firstSheet="4" activeTab="8" xr2:uid="{00000000-000D-0000-FFFF-FFFF00000000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9" l="1"/>
  <c r="E28" i="9"/>
  <c r="E31" i="9" s="1"/>
  <c r="G11" i="9"/>
  <c r="G31" i="9"/>
  <c r="B31" i="9"/>
  <c r="M31" i="9"/>
  <c r="I31" i="9"/>
  <c r="K31" i="9"/>
  <c r="D31" i="9"/>
  <c r="E24" i="9"/>
  <c r="E23" i="9"/>
  <c r="E22" i="9"/>
  <c r="E21" i="9"/>
  <c r="E10" i="9"/>
  <c r="E9" i="9"/>
  <c r="E8" i="9"/>
  <c r="E7" i="9"/>
  <c r="G8" i="8"/>
  <c r="E6" i="8"/>
  <c r="N31" i="9" l="1"/>
  <c r="G32" i="8"/>
  <c r="G24" i="7"/>
  <c r="M32" i="8"/>
  <c r="D32" i="8"/>
  <c r="E32" i="8"/>
  <c r="H32" i="8"/>
  <c r="K32" i="8"/>
  <c r="B32" i="8"/>
  <c r="E25" i="8"/>
  <c r="E24" i="8"/>
  <c r="E23" i="8"/>
  <c r="E22" i="8"/>
  <c r="E20" i="8"/>
  <c r="E19" i="8"/>
  <c r="E18" i="8"/>
  <c r="E17" i="8"/>
  <c r="E14" i="8"/>
  <c r="E13" i="8"/>
  <c r="E12" i="8"/>
  <c r="E7" i="8"/>
  <c r="E2" i="8"/>
  <c r="G21" i="7"/>
  <c r="E14" i="7"/>
  <c r="G32" i="7"/>
  <c r="E9" i="7"/>
  <c r="E8" i="7"/>
  <c r="E7" i="7"/>
  <c r="G26" i="6"/>
  <c r="D32" i="7"/>
  <c r="I32" i="7"/>
  <c r="K32" i="7"/>
  <c r="L32" i="7"/>
  <c r="M32" i="7"/>
  <c r="B32" i="7"/>
  <c r="E26" i="7"/>
  <c r="E25" i="7"/>
  <c r="E21" i="7"/>
  <c r="E20" i="7"/>
  <c r="E19" i="7"/>
  <c r="E18" i="7"/>
  <c r="E13" i="7"/>
  <c r="E12" i="7"/>
  <c r="E11" i="7"/>
  <c r="E4" i="7"/>
  <c r="E3" i="7"/>
  <c r="N32" i="8" l="1"/>
  <c r="E32" i="7"/>
  <c r="N32" i="7" s="1"/>
  <c r="E19" i="6"/>
  <c r="E25" i="6"/>
  <c r="I13" i="6"/>
  <c r="G31" i="6"/>
  <c r="E6" i="6"/>
  <c r="E5" i="6"/>
  <c r="E28" i="6"/>
  <c r="E14" i="6"/>
  <c r="E13" i="6"/>
  <c r="D31" i="6"/>
  <c r="I31" i="6"/>
  <c r="K31" i="6"/>
  <c r="M31" i="6"/>
  <c r="B31" i="6"/>
  <c r="E27" i="6"/>
  <c r="E26" i="6"/>
  <c r="E20" i="6"/>
  <c r="E18" i="6"/>
  <c r="E12" i="6"/>
  <c r="E11" i="6"/>
  <c r="E10" i="6"/>
  <c r="E4" i="6"/>
  <c r="E3" i="6"/>
  <c r="D4" i="3"/>
  <c r="G32" i="5"/>
  <c r="D32" i="5"/>
  <c r="I32" i="5"/>
  <c r="K32" i="5"/>
  <c r="M32" i="5"/>
  <c r="B32" i="5"/>
  <c r="E28" i="5"/>
  <c r="E27" i="5"/>
  <c r="E26" i="5"/>
  <c r="E20" i="5"/>
  <c r="E19" i="5"/>
  <c r="E18" i="5"/>
  <c r="E13" i="5"/>
  <c r="E12" i="5"/>
  <c r="E11" i="5"/>
  <c r="E5" i="5"/>
  <c r="E4" i="5"/>
  <c r="E3" i="5"/>
  <c r="E32" i="5" s="1"/>
  <c r="E17" i="4"/>
  <c r="E31" i="6" l="1"/>
  <c r="N31" i="6" s="1"/>
  <c r="N33" i="5"/>
  <c r="N32" i="5"/>
  <c r="M17" i="4"/>
  <c r="E10" i="4"/>
  <c r="I9" i="4" l="1"/>
  <c r="G31" i="4"/>
  <c r="G29" i="3" l="1"/>
  <c r="E29" i="3"/>
  <c r="E28" i="3" l="1"/>
  <c r="D31" i="4" l="1"/>
  <c r="I31" i="4"/>
  <c r="K31" i="4"/>
  <c r="M31" i="4"/>
  <c r="B31" i="4"/>
  <c r="E26" i="4"/>
  <c r="E25" i="4"/>
  <c r="E20" i="4"/>
  <c r="E19" i="4"/>
  <c r="E18" i="4"/>
  <c r="E13" i="4"/>
  <c r="E12" i="4"/>
  <c r="E11" i="4"/>
  <c r="E5" i="4"/>
  <c r="E31" i="4" s="1"/>
  <c r="E6" i="4"/>
  <c r="E7" i="4"/>
  <c r="N31" i="4" l="1"/>
  <c r="E13" i="3"/>
  <c r="E4" i="3" l="1"/>
  <c r="E5" i="3"/>
  <c r="E6" i="3"/>
  <c r="D32" i="3" l="1"/>
  <c r="G32" i="3"/>
  <c r="I32" i="3"/>
  <c r="K32" i="3"/>
  <c r="M32" i="3"/>
  <c r="B32" i="3"/>
  <c r="E27" i="3"/>
  <c r="E26" i="3"/>
  <c r="E25" i="3"/>
  <c r="E19" i="3"/>
  <c r="E18" i="3"/>
  <c r="E17" i="3"/>
  <c r="E16" i="3"/>
  <c r="E12" i="3"/>
  <c r="E11" i="3"/>
  <c r="E10" i="3"/>
  <c r="E9" i="3"/>
  <c r="E3" i="3"/>
  <c r="E32" i="3" s="1"/>
  <c r="N33" i="3" l="1"/>
  <c r="N32" i="3"/>
  <c r="G30" i="2"/>
  <c r="G32" i="1"/>
  <c r="E6" i="2"/>
  <c r="D30" i="2" l="1"/>
  <c r="I30" i="2"/>
  <c r="K30" i="2"/>
  <c r="M30" i="2"/>
  <c r="B30" i="2"/>
  <c r="E28" i="2"/>
  <c r="E27" i="2"/>
  <c r="E22" i="2"/>
  <c r="E21" i="2"/>
  <c r="E20" i="2"/>
  <c r="E19" i="2"/>
  <c r="E14" i="2"/>
  <c r="E13" i="2"/>
  <c r="E12" i="2"/>
  <c r="E11" i="2"/>
  <c r="E3" i="2"/>
  <c r="E4" i="2"/>
  <c r="E30" i="2" s="1"/>
  <c r="N30" i="2" l="1"/>
  <c r="E16" i="1"/>
  <c r="E17" i="1"/>
  <c r="E18" i="1"/>
  <c r="E15" i="1"/>
  <c r="E32" i="1" l="1"/>
  <c r="I32" i="1"/>
  <c r="K32" i="1"/>
  <c r="M32" i="1"/>
  <c r="B32" i="1"/>
  <c r="D3" i="1"/>
  <c r="D32" i="1" s="1"/>
  <c r="N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tc={852BFAC3-174C-46A9-88C4-E10D2D2FA573}</author>
  </authors>
  <commentList>
    <comment ref="D4" authorId="0" shapeId="0" xr:uid="{852BFAC3-174C-46A9-88C4-E10D2D2FA5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Pooja aher+ my RD
</t>
      </text>
    </comment>
  </commentList>
</comments>
</file>

<file path=xl/sharedStrings.xml><?xml version="1.0" encoding="utf-8"?>
<sst xmlns="http://schemas.openxmlformats.org/spreadsheetml/2006/main" count="587" uniqueCount="329">
  <si>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</si>
  <si>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</si>
  <si>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</si>
  <si>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</si>
  <si>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</si>
  <si>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</si>
  <si>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</si>
  <si>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MF</t>
  </si>
  <si>
    <t>3 BHK</t>
  </si>
  <si>
    <t>PPF</t>
  </si>
  <si>
    <t>mavshi sangeeta +</t>
  </si>
  <si>
    <t>RD</t>
  </si>
  <si>
    <t>term plan</t>
  </si>
  <si>
    <t>NPS: 1L</t>
  </si>
  <si>
    <t>aai</t>
  </si>
  <si>
    <t>RD: 30K</t>
  </si>
  <si>
    <t>paper bill</t>
  </si>
  <si>
    <t>jio</t>
  </si>
  <si>
    <t>Vi</t>
  </si>
  <si>
    <t>UC</t>
  </si>
  <si>
    <t>Ajji</t>
  </si>
  <si>
    <t>250K</t>
  </si>
  <si>
    <t>tai</t>
  </si>
  <si>
    <t>yogesh mamanna</t>
  </si>
  <si>
    <t>1.25K</t>
  </si>
  <si>
    <t>bhaji</t>
  </si>
  <si>
    <t>fala</t>
  </si>
  <si>
    <t>ushanche cover</t>
  </si>
  <si>
    <t>sitopaladi churn</t>
  </si>
  <si>
    <t>dudu mashroom tomato</t>
  </si>
  <si>
    <t>rani kadam</t>
  </si>
  <si>
    <t>dusari mavshi</t>
  </si>
  <si>
    <t>fruits and gajar, tomato</t>
  </si>
  <si>
    <t>paneer, ashgaurd, lasun</t>
  </si>
  <si>
    <t>yogesh perfume</t>
  </si>
  <si>
    <t>bhishi billi anna</t>
  </si>
  <si>
    <t>fruits</t>
  </si>
  <si>
    <t>kohala, kaju oats</t>
  </si>
  <si>
    <t>gajar peru</t>
  </si>
  <si>
    <t>makhana kohla paneer</t>
  </si>
  <si>
    <t>limbu</t>
  </si>
  <si>
    <t>pani bottle kival</t>
  </si>
  <si>
    <t>tream hair</t>
  </si>
  <si>
    <t>mufasa</t>
  </si>
  <si>
    <t>finger cake</t>
  </si>
  <si>
    <t>grocery for guest / akash ashu</t>
  </si>
  <si>
    <t>cake for akash bday</t>
  </si>
  <si>
    <t>purush</t>
  </si>
  <si>
    <t>mummyna bday dress</t>
  </si>
  <si>
    <t>pillow covers</t>
  </si>
  <si>
    <t>sunscreen</t>
  </si>
  <si>
    <t>10K</t>
  </si>
  <si>
    <t>tai la 25K dile</t>
  </si>
  <si>
    <t>chaha</t>
  </si>
  <si>
    <t>Mutual:425K</t>
  </si>
  <si>
    <t>Mutual:445K</t>
  </si>
  <si>
    <t>Rd broke</t>
  </si>
  <si>
    <t>shashikala mavshi</t>
  </si>
  <si>
    <t>khakra, surali wadi, kothimbir wadi</t>
  </si>
  <si>
    <t>surali wadi for sukhsagar salunkhe</t>
  </si>
  <si>
    <t>Zapurza</t>
  </si>
  <si>
    <t>c sesum</t>
  </si>
  <si>
    <t>RD: 10K</t>
  </si>
  <si>
    <t>tai ne 1L dile</t>
  </si>
  <si>
    <t>toner</t>
  </si>
  <si>
    <t>ice pad for sukhsagar</t>
  </si>
  <si>
    <t>kohala</t>
  </si>
  <si>
    <t>vasota</t>
  </si>
  <si>
    <t>dudh bill</t>
  </si>
  <si>
    <t>nyka rose water</t>
  </si>
  <si>
    <t>yogesh gave 3.5K</t>
  </si>
  <si>
    <t xml:space="preserve">yogesh ne 3.5K dile </t>
  </si>
  <si>
    <t>bolster+cusion covers</t>
  </si>
  <si>
    <t>water bottles</t>
  </si>
  <si>
    <t>bhishi</t>
  </si>
  <si>
    <t>cake contry in bhishi party</t>
  </si>
  <si>
    <t>earthen pots</t>
  </si>
  <si>
    <t>kanatale for me</t>
  </si>
  <si>
    <t>limbu+dudh</t>
  </si>
  <si>
    <t>Taila 50K retun dile</t>
  </si>
  <si>
    <t>aman aher</t>
  </si>
  <si>
    <t>chopping board</t>
  </si>
  <si>
    <t>Mutual:465K</t>
  </si>
  <si>
    <t>RD: 15K</t>
  </si>
  <si>
    <t>keli</t>
  </si>
  <si>
    <t>awla +anar</t>
  </si>
  <si>
    <t>FFP annual program</t>
  </si>
  <si>
    <t>25K</t>
  </si>
  <si>
    <t>taila 35K dile</t>
  </si>
  <si>
    <t>cleanser</t>
  </si>
  <si>
    <t>wafers</t>
  </si>
  <si>
    <t>paneer + kairi</t>
  </si>
  <si>
    <t>oranges</t>
  </si>
  <si>
    <t>wifi</t>
  </si>
  <si>
    <t>contry in socienty for womens day</t>
  </si>
  <si>
    <t>massage</t>
  </si>
  <si>
    <t>dinner with rasika and saurabh</t>
  </si>
  <si>
    <t>purvaja chya porila dress</t>
  </si>
  <si>
    <t>white shoes for me</t>
  </si>
  <si>
    <t>green legin</t>
  </si>
  <si>
    <t>blue top</t>
  </si>
  <si>
    <t>tiffin bag</t>
  </si>
  <si>
    <t>makeup box</t>
  </si>
  <si>
    <t>ritza booking</t>
  </si>
  <si>
    <t>shahala for yogesh</t>
  </si>
  <si>
    <t>sahala</t>
  </si>
  <si>
    <t>chiku + apple bore</t>
  </si>
  <si>
    <t>limbu+fula</t>
  </si>
  <si>
    <t>apples</t>
  </si>
  <si>
    <t>capsicum</t>
  </si>
  <si>
    <t>ather office</t>
  </si>
  <si>
    <t>kohla, walnut, pandhara kande</t>
  </si>
  <si>
    <t>cheese+nachani+limbu+pandhare kande</t>
  </si>
  <si>
    <t>uber</t>
  </si>
  <si>
    <t xml:space="preserve">women's day contry </t>
  </si>
  <si>
    <t>udemy</t>
  </si>
  <si>
    <t>dumbels</t>
  </si>
  <si>
    <t>boxers</t>
  </si>
  <si>
    <t>yogesh cotton shirt</t>
  </si>
  <si>
    <t>flowers</t>
  </si>
  <si>
    <t>kharbuj + turbuj</t>
  </si>
  <si>
    <t>color ani sakhar gathi for ishu</t>
  </si>
  <si>
    <t>icecream</t>
  </si>
  <si>
    <t>peru</t>
  </si>
  <si>
    <t>tai 25K dile</t>
  </si>
  <si>
    <t>kohala, grapes, shahala</t>
  </si>
  <si>
    <t>moisuriser</t>
  </si>
  <si>
    <t>sakal subscription</t>
  </si>
  <si>
    <t>aai kde jatana mithai</t>
  </si>
  <si>
    <t>panipuri</t>
  </si>
  <si>
    <t>gadi servicing</t>
  </si>
  <si>
    <t>2gm sona</t>
  </si>
  <si>
    <t>mangoes+garbage bags</t>
  </si>
  <si>
    <t>bhaji+ cake for yogesh promotion</t>
  </si>
  <si>
    <t>mithai for gadi</t>
  </si>
  <si>
    <t>dalan nachani</t>
  </si>
  <si>
    <t>chakali+bhaji</t>
  </si>
  <si>
    <t>yogesh gave 49K</t>
  </si>
  <si>
    <t>wifi recharge</t>
  </si>
  <si>
    <t>RD: 5K</t>
  </si>
  <si>
    <t>broke the RD</t>
  </si>
  <si>
    <t>sunglasses, scaper</t>
  </si>
  <si>
    <t>, rutuja divekar's book</t>
  </si>
  <si>
    <t>limbu, straberries</t>
  </si>
  <si>
    <t>Transport to Karjat</t>
  </si>
  <si>
    <t>shahala+kalingad</t>
  </si>
  <si>
    <t>apples, anar</t>
  </si>
  <si>
    <t>chakali</t>
  </si>
  <si>
    <t>ambe</t>
  </si>
  <si>
    <t>yogash gave 5K</t>
  </si>
  <si>
    <t>vapurza show</t>
  </si>
  <si>
    <t>chocolate fudge Sunday_popcorn</t>
  </si>
  <si>
    <t>Yogesh didn't gave anything</t>
  </si>
  <si>
    <t>Rizta accessories</t>
  </si>
  <si>
    <t>shikayla gelo ak, popcorn</t>
  </si>
  <si>
    <t>kohla alimbu</t>
  </si>
  <si>
    <t>ambe + dalimb</t>
  </si>
  <si>
    <t>cash card topup</t>
  </si>
  <si>
    <t>shev+ bundi+panipuri chi puri</t>
  </si>
  <si>
    <t>chavalali</t>
  </si>
  <si>
    <t>dudh panner white watana</t>
  </si>
  <si>
    <t>sakhar makhana</t>
  </si>
  <si>
    <t>dudh , lettuce</t>
  </si>
  <si>
    <t>kaju+ kesar</t>
  </si>
  <si>
    <t>chanidicha kada for me</t>
  </si>
  <si>
    <t>hair spa</t>
  </si>
  <si>
    <t>barwa lipstick</t>
  </si>
  <si>
    <t>sadda trouser</t>
  </si>
  <si>
    <t>NPs</t>
  </si>
  <si>
    <t>NPS: 1.1L</t>
  </si>
  <si>
    <t>yogesg gave 5K</t>
  </si>
  <si>
    <t>chole bhature</t>
  </si>
  <si>
    <t>kharbuj</t>
  </si>
  <si>
    <t>kohla</t>
  </si>
  <si>
    <t>dragon fruits, apple , limbu</t>
  </si>
  <si>
    <t>Mutual:488K</t>
  </si>
  <si>
    <t>Mutual:511K</t>
  </si>
  <si>
    <t>glyserin</t>
  </si>
  <si>
    <t>laptop stand</t>
  </si>
  <si>
    <t>matichi bhandi</t>
  </si>
  <si>
    <t>blue collared shirt</t>
  </si>
  <si>
    <t>glass bottles 2</t>
  </si>
  <si>
    <t>ice pack for sukhsagar</t>
  </si>
  <si>
    <t xml:space="preserve">bolster cover cotton </t>
  </si>
  <si>
    <t>arm sleeves for both</t>
  </si>
  <si>
    <t>NPS</t>
  </si>
  <si>
    <t>bhel for sukhsagar</t>
  </si>
  <si>
    <t>ajinkya sobat lunch</t>
  </si>
  <si>
    <t>kulfi for bhore</t>
  </si>
  <si>
    <t>wadha pav, chaha at the father</t>
  </si>
  <si>
    <t>the father</t>
  </si>
  <si>
    <t>8000 rent</t>
  </si>
  <si>
    <t>meher retreat</t>
  </si>
  <si>
    <t>1kg pedhe for operation sindoor</t>
  </si>
  <si>
    <t>mangoes+ jambhul</t>
  </si>
  <si>
    <t>dadu bday cake</t>
  </si>
  <si>
    <t>sumit's wedding contri</t>
  </si>
  <si>
    <t>Anjali</t>
  </si>
  <si>
    <t>aai's sadi for bday</t>
  </si>
  <si>
    <t>mala sadi from ramomora</t>
  </si>
  <si>
    <t>fula devala</t>
  </si>
  <si>
    <t>khushi dress</t>
  </si>
  <si>
    <t>khari pattice for bhore</t>
  </si>
  <si>
    <t>mangoes</t>
  </si>
  <si>
    <t>mla sadi</t>
  </si>
  <si>
    <t>kalingad</t>
  </si>
  <si>
    <t>karwanda</t>
  </si>
  <si>
    <t>aai cha bday cake</t>
  </si>
  <si>
    <t>v ring</t>
  </si>
  <si>
    <t>nose rings</t>
  </si>
  <si>
    <t>Shravu dress</t>
  </si>
  <si>
    <t>chiku+ mangoes</t>
  </si>
  <si>
    <t>veet,wisper</t>
  </si>
  <si>
    <t xml:space="preserve">bhel </t>
  </si>
  <si>
    <t>ORS, sitophaladi churan, shrikhand golya</t>
  </si>
  <si>
    <t>inners for me</t>
  </si>
  <si>
    <t>vili</t>
  </si>
  <si>
    <t>keli, totapuri, chiku</t>
  </si>
  <si>
    <t>kakdi, shenga, dudhi</t>
  </si>
  <si>
    <t>NPS: 1.5L</t>
  </si>
  <si>
    <t>perfumes+ makeup remover</t>
  </si>
  <si>
    <t>green tea</t>
  </si>
  <si>
    <t>pu la deshpande garden fees</t>
  </si>
  <si>
    <t>chakali, dalimba</t>
  </si>
  <si>
    <t>fula</t>
  </si>
  <si>
    <t>suman  mavshi</t>
  </si>
  <si>
    <t>inner transformation</t>
  </si>
  <si>
    <t>keli, papai, naral</t>
  </si>
  <si>
    <t>Yogesh gave 5K</t>
  </si>
  <si>
    <t>sack rain cover</t>
  </si>
  <si>
    <t>biryani party in office</t>
  </si>
  <si>
    <t>asen me nasen me( yogesh paij harla hota)</t>
  </si>
  <si>
    <t>apples, cherry, dragon fruits</t>
  </si>
  <si>
    <t>jambhul, dates, dalimb, fula</t>
  </si>
  <si>
    <t>Sofa cleaning</t>
  </si>
  <si>
    <t>anna dan for warkari</t>
  </si>
  <si>
    <t>Mutual:534K</t>
  </si>
  <si>
    <t>RD: 20K</t>
  </si>
  <si>
    <t>Kavita</t>
  </si>
  <si>
    <t>150K</t>
  </si>
  <si>
    <t>1L return back to aai</t>
  </si>
  <si>
    <t>Prime membership ad free</t>
  </si>
  <si>
    <t>Dr. Manisha joshi</t>
  </si>
  <si>
    <t>pineapple, mirchi, mango, naral</t>
  </si>
  <si>
    <t>shrikhand</t>
  </si>
  <si>
    <t>ghewar treat</t>
  </si>
  <si>
    <t>icecream bakarwadi rani mavshi</t>
  </si>
  <si>
    <t>spects</t>
  </si>
  <si>
    <t>awala</t>
  </si>
  <si>
    <t>ananas, amaba</t>
  </si>
  <si>
    <t>2liter dudh, bread, cheese for sandwitch</t>
  </si>
  <si>
    <t>mhnashicha 1 lit dudh, til</t>
  </si>
  <si>
    <t>panipuri saman</t>
  </si>
  <si>
    <t>chees cake</t>
  </si>
  <si>
    <t>besan, bread</t>
  </si>
  <si>
    <t>aai: 180K</t>
  </si>
  <si>
    <t>irani café with apeksha</t>
  </si>
  <si>
    <t>cheese cake for yogesh</t>
  </si>
  <si>
    <t>shrikhand for bhore</t>
  </si>
  <si>
    <t>pattice for bhore</t>
  </si>
  <si>
    <t>dalimb, peru, apples</t>
  </si>
  <si>
    <t>bhopala, kohla, fula</t>
  </si>
  <si>
    <t>hirawa math</t>
  </si>
  <si>
    <t>aai: 185K</t>
  </si>
  <si>
    <t>5K per month</t>
  </si>
  <si>
    <t>RD: 25K</t>
  </si>
  <si>
    <t>Mutual:559K</t>
  </si>
  <si>
    <t>pearl neklace</t>
  </si>
  <si>
    <t>dudh, dahi</t>
  </si>
  <si>
    <t>peru, pineapple, dalimb</t>
  </si>
  <si>
    <t>e cash card topup</t>
  </si>
  <si>
    <t>ITR</t>
  </si>
  <si>
    <t>metro card topup</t>
  </si>
  <si>
    <t>Fruits</t>
  </si>
  <si>
    <t>Rakshabandhan gift for girls</t>
  </si>
  <si>
    <t>inhealer, shampo sache</t>
  </si>
  <si>
    <t>finger cake for trip</t>
  </si>
  <si>
    <t>nyka powder</t>
  </si>
  <si>
    <t>Kavita mavshi</t>
  </si>
  <si>
    <t>c serum</t>
  </si>
  <si>
    <t>Anniversary celebration: Dabeli</t>
  </si>
  <si>
    <t>soft drink</t>
  </si>
  <si>
    <t>dudh, milk powwder, decicated coconut</t>
  </si>
  <si>
    <t>batata, tomato, mirchi, khava: Rakshabandhan</t>
  </si>
  <si>
    <t>fula, kohala</t>
  </si>
  <si>
    <t>Ganpati vargani soceity</t>
  </si>
  <si>
    <t>zad: kikle bday</t>
  </si>
  <si>
    <t>Bhakti</t>
  </si>
  <si>
    <t>15K</t>
  </si>
  <si>
    <t>Guryaa cha ghari oti bharan gift: bhahule</t>
  </si>
  <si>
    <t>pipneapple</t>
  </si>
  <si>
    <t>satya narayan pooja saman</t>
  </si>
  <si>
    <t>ice cream</t>
  </si>
  <si>
    <t>ragada puri</t>
  </si>
  <si>
    <t>butter, cheese, maida</t>
  </si>
  <si>
    <t>kohla gulab</t>
  </si>
  <si>
    <t>gift wrap mayuri</t>
  </si>
  <si>
    <t>watch repaire</t>
  </si>
  <si>
    <t>wallet, crocs for yogi</t>
  </si>
  <si>
    <t>anniversarry gift</t>
  </si>
  <si>
    <t>slipper</t>
  </si>
  <si>
    <t>aai ka 50K dile</t>
  </si>
  <si>
    <t>Mutual:584K</t>
  </si>
  <si>
    <t>Mutual:609.5K</t>
  </si>
  <si>
    <t>sofa cover</t>
  </si>
  <si>
    <t>yogesh kada</t>
  </si>
  <si>
    <t>1L</t>
  </si>
  <si>
    <t>kunafa</t>
  </si>
  <si>
    <t>cake</t>
  </si>
  <si>
    <t>ice cream+ cadbury for bday</t>
  </si>
  <si>
    <t>batata+fula</t>
  </si>
  <si>
    <t>dudh</t>
  </si>
  <si>
    <t>charging cable</t>
  </si>
  <si>
    <t>tomato, soya sauce, dudh for momos</t>
  </si>
  <si>
    <t>kunafa for anishka and aai</t>
  </si>
  <si>
    <t>bhaji+fula</t>
  </si>
  <si>
    <t>aai: 240K</t>
  </si>
  <si>
    <t>panties</t>
  </si>
  <si>
    <t>momos for yogesh office</t>
  </si>
  <si>
    <t>contri</t>
  </si>
  <si>
    <t>chakka, mango pulpe for gauri</t>
  </si>
  <si>
    <t>misal with yogesh</t>
  </si>
  <si>
    <t>fare well contri</t>
  </si>
  <si>
    <t>sonography</t>
  </si>
  <si>
    <t>bakarwadi, sabudana papdi</t>
  </si>
  <si>
    <t>bhel</t>
  </si>
  <si>
    <t>masala paw</t>
  </si>
  <si>
    <t>mastani</t>
  </si>
  <si>
    <t>folk akhyan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</si>
</sst>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31668</c:v>
                </c:pt>
                <c:pt idx="2">
                  <c:v>40800</c:v>
                </c:pt>
                <c:pt idx="3">
                  <c:v>2817</c:v>
                </c:pt>
                <c:pt idx="5">
                  <c:v>2028</c:v>
                </c:pt>
                <c:pt idx="7">
                  <c:v>5813</c:v>
                </c:pt>
                <c:pt idx="9">
                  <c:v>0</c:v>
                </c:pt>
                <c:pt idx="1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8-4F5F-B27A-3ACEB5A558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9983055"/>
        <c:axId val="1329985551"/>
        <c:axId val="0"/>
      </c:bar3DChart>
      <c:catAx>
        <c:axId val="1329983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85551"/>
        <c:crosses val="autoZero"/>
        <c:auto val="1"/>
        <c:lblAlgn val="ctr"/>
        <c:lblOffset val="100"/>
        <c:noMultiLvlLbl val="0"/>
      </c:catAx>
      <c:valAx>
        <c:axId val="1329985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998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34668</c:v>
                </c:pt>
                <c:pt idx="2">
                  <c:v>38200</c:v>
                </c:pt>
                <c:pt idx="3">
                  <c:v>3793</c:v>
                </c:pt>
                <c:pt idx="5">
                  <c:v>3796</c:v>
                </c:pt>
                <c:pt idx="7">
                  <c:v>6141</c:v>
                </c:pt>
                <c:pt idx="9">
                  <c:v>2500</c:v>
                </c:pt>
                <c:pt idx="11">
                  <c:v>11232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7-4C71-81F8-5020FD6250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8886207"/>
        <c:axId val="1328891199"/>
        <c:axId val="0"/>
      </c:bar3DChart>
      <c:catAx>
        <c:axId val="132888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91199"/>
        <c:crosses val="autoZero"/>
        <c:auto val="1"/>
        <c:lblAlgn val="ctr"/>
        <c:lblOffset val="100"/>
        <c:noMultiLvlLbl val="0"/>
      </c:catAx>
      <c:valAx>
        <c:axId val="13288911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888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"/>
          <c:w val="0.93888888888888888"/>
          <c:h val="0.841674686497521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March!$B$32:$M$32</c:f>
              <c:numCache>
                <c:formatCode>General</c:formatCode>
                <c:ptCount val="12"/>
                <c:pt idx="0">
                  <c:v>51168</c:v>
                </c:pt>
                <c:pt idx="2">
                  <c:v>138000</c:v>
                </c:pt>
                <c:pt idx="3">
                  <c:v>5350</c:v>
                </c:pt>
                <c:pt idx="5">
                  <c:v>6443</c:v>
                </c:pt>
                <c:pt idx="7">
                  <c:v>9708</c:v>
                </c:pt>
                <c:pt idx="9">
                  <c:v>650</c:v>
                </c:pt>
                <c:pt idx="11">
                  <c:v>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B-49E6-B334-01447FCA47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09702991"/>
        <c:axId val="309706319"/>
        <c:axId val="0"/>
      </c:bar3DChart>
      <c:catAx>
        <c:axId val="309702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6319"/>
        <c:crosses val="autoZero"/>
        <c:auto val="1"/>
        <c:lblAlgn val="ctr"/>
        <c:lblOffset val="100"/>
        <c:noMultiLvlLbl val="0"/>
      </c:catAx>
      <c:valAx>
        <c:axId val="3097063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0970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April!$B$31:$M$31</c:f>
              <c:numCache>
                <c:formatCode>General</c:formatCode>
                <c:ptCount val="12"/>
                <c:pt idx="0">
                  <c:v>46668</c:v>
                </c:pt>
                <c:pt idx="2">
                  <c:v>38000</c:v>
                </c:pt>
                <c:pt idx="3">
                  <c:v>2849</c:v>
                </c:pt>
                <c:pt idx="5">
                  <c:v>2975</c:v>
                </c:pt>
                <c:pt idx="7">
                  <c:v>7471</c:v>
                </c:pt>
                <c:pt idx="9">
                  <c:v>0</c:v>
                </c:pt>
                <c:pt idx="11">
                  <c:v>11654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9-4A98-9FA1-E27E1D69C6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3301807"/>
        <c:axId val="1343303247"/>
        <c:axId val="0"/>
      </c:bar3DChart>
      <c:catAx>
        <c:axId val="1343301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03247"/>
        <c:crosses val="autoZero"/>
        <c:auto val="1"/>
        <c:lblAlgn val="ctr"/>
        <c:lblOffset val="100"/>
        <c:noMultiLvlLbl val="0"/>
      </c:catAx>
      <c:valAx>
        <c:axId val="13433032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330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May!$B$32:$M$32</c:f>
              <c:numCache>
                <c:formatCode>General</c:formatCode>
                <c:ptCount val="12"/>
                <c:pt idx="0">
                  <c:v>76668</c:v>
                </c:pt>
                <c:pt idx="2">
                  <c:v>38000</c:v>
                </c:pt>
                <c:pt idx="3">
                  <c:v>2778</c:v>
                </c:pt>
                <c:pt idx="5">
                  <c:v>1918</c:v>
                </c:pt>
                <c:pt idx="7">
                  <c:v>12547</c:v>
                </c:pt>
                <c:pt idx="9">
                  <c:v>1500</c:v>
                </c:pt>
                <c:pt idx="11">
                  <c:v>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1-405F-AB0E-8C59592174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3321487"/>
        <c:axId val="1343323407"/>
        <c:axId val="0"/>
      </c:bar3DChart>
      <c:catAx>
        <c:axId val="134332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23407"/>
        <c:crosses val="autoZero"/>
        <c:auto val="1"/>
        <c:lblAlgn val="ctr"/>
        <c:lblOffset val="100"/>
        <c:noMultiLvlLbl val="0"/>
      </c:catAx>
      <c:valAx>
        <c:axId val="13433234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33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June!$B$31:$M$31</c:f>
              <c:numCache>
                <c:formatCode>General</c:formatCode>
                <c:ptCount val="12"/>
                <c:pt idx="0">
                  <c:v>36668</c:v>
                </c:pt>
                <c:pt idx="2">
                  <c:v>38300</c:v>
                </c:pt>
                <c:pt idx="3">
                  <c:v>3665</c:v>
                </c:pt>
                <c:pt idx="5">
                  <c:v>210</c:v>
                </c:pt>
                <c:pt idx="7">
                  <c:v>7039</c:v>
                </c:pt>
                <c:pt idx="9">
                  <c:v>0</c:v>
                </c:pt>
                <c:pt idx="11">
                  <c:v>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2-4A64-9B7F-2E57DBDF9A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21397519"/>
        <c:axId val="592896879"/>
        <c:axId val="0"/>
      </c:bar3DChart>
      <c:catAx>
        <c:axId val="112139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96879"/>
        <c:crosses val="autoZero"/>
        <c:auto val="1"/>
        <c:lblAlgn val="ctr"/>
        <c:lblOffset val="100"/>
        <c:noMultiLvlLbl val="0"/>
      </c:catAx>
      <c:valAx>
        <c:axId val="5928968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2139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July!$B$32:$M$32</c:f>
              <c:numCache>
                <c:formatCode>General</c:formatCode>
                <c:ptCount val="12"/>
                <c:pt idx="0">
                  <c:v>39168</c:v>
                </c:pt>
                <c:pt idx="2">
                  <c:v>39400</c:v>
                </c:pt>
                <c:pt idx="3">
                  <c:v>2840</c:v>
                </c:pt>
                <c:pt idx="5">
                  <c:v>471</c:v>
                </c:pt>
                <c:pt idx="7">
                  <c:v>4132</c:v>
                </c:pt>
                <c:pt idx="9">
                  <c:v>0</c:v>
                </c:pt>
                <c:pt idx="10">
                  <c:v>0</c:v>
                </c:pt>
                <c:pt idx="11">
                  <c:v>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1-47A2-AE51-113034F6F7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34110431"/>
        <c:axId val="1134104671"/>
        <c:axId val="0"/>
      </c:bar3DChart>
      <c:catAx>
        <c:axId val="1134110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04671"/>
        <c:crosses val="autoZero"/>
        <c:auto val="1"/>
        <c:lblAlgn val="ctr"/>
        <c:lblOffset val="100"/>
        <c:noMultiLvlLbl val="0"/>
      </c:catAx>
      <c:valAx>
        <c:axId val="11341046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3411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90767</xdr:rowOff>
    </xdr:from>
    <xdr:to>
      <xdr:col>4</xdr:col>
      <xdr:colOff>795618</xdr:colOff>
      <xdr:row>25</xdr:row>
      <xdr:rowOff>156883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3</xdr:col>
      <xdr:colOff>457200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16</xdr:row>
      <xdr:rowOff>28574</xdr:rowOff>
    </xdr:from>
    <xdr:to>
      <xdr:col>14</xdr:col>
      <xdr:colOff>333375</xdr:colOff>
      <xdr:row>28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8</xdr:row>
      <xdr:rowOff>171450</xdr:rowOff>
    </xdr:from>
    <xdr:to>
      <xdr:col>4</xdr:col>
      <xdr:colOff>790575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2C4F6E-0E0C-0E8D-ACA2-1C429F346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16</xdr:row>
      <xdr:rowOff>180975</xdr:rowOff>
    </xdr:from>
    <xdr:to>
      <xdr:col>4</xdr:col>
      <xdr:colOff>542924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3BBE3-7B24-5CBF-8184-1A2634CD4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323020</xdr:colOff>
      <xdr:row>10</xdr:row>
      <xdr:rowOff>66259</xdr:rowOff>
    </xdr:from>
    <xdr:to>
      <xdr:col>13</xdr:col>
      <xdr:colOff>612911</xdr:colOff>
      <xdr:row>20</xdr:row>
      <xdr:rowOff>25674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AE0EE-6699-A18A-E26D-68949BA19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18</xdr:row>
      <xdr:rowOff>123825</xdr:rowOff>
    </xdr:from>
    <xdr:to>
      <xdr:col>4</xdr:col>
      <xdr:colOff>171450</xdr:colOff>
      <xdr:row>30</xdr:row>
      <xdr:rowOff>71436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E3B29-AB30-3913-5BCA-D927F9D7F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pali Vitthal Bhore" id="{8C330BA6-BC3B-4620-ADEB-586BB98DA260}" userId="S::rupalibh@cybage.com::ed38ff30-cd56-4bea-a3b0-620ecd860d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5-25T11:07:08.31" personId="{8C330BA6-BC3B-4620-ADEB-586BB98DA260}" id="{852BFAC3-174C-46A9-88C4-E10D2D2FA573}">
    <text xml:space="preserve">Pooja aher+ my RD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Normal="100" workbookViewId="0">
      <pane ySplit="1" topLeftCell="A16" activePane="bottomLeft" state="frozen"/>
      <selection activeCell="G1" sqref="G1"/>
      <selection pane="bottomLeft" activeCell="L31" sqref="L31"/>
    </sheetView>
  </sheetViews>
  <sheetFormatPr defaultRowHeight="15" x14ac:dyDescent="0.25"/>
  <cols>
    <col min="1" max="1" width="17" customWidth="1"/>
    <col min="3" max="3" width="15.5703125" customWidth="1"/>
    <col min="5" max="5" width="21.85546875" customWidth="1"/>
    <col min="6" max="6" width="21.5703125" customWidth="1"/>
    <col min="8" max="8" width="18" customWidth="1"/>
    <col min="12" max="12" width="18.7109375" customWidth="1"/>
    <col min="14" max="14" width="14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20000</v>
      </c>
      <c r="C2" t="s">
        <v>8</v>
      </c>
      <c r="D2">
        <v>36500</v>
      </c>
      <c r="E2">
        <v>300</v>
      </c>
      <c r="F2" t="s">
        <v>16</v>
      </c>
      <c r="G2">
        <v>186</v>
      </c>
    </row>
    <row r="3" spans="1:15" ht="30" x14ac:dyDescent="0.25">
      <c r="A3" t="s">
        <v>9</v>
      </c>
      <c r="B3">
        <v>2000</v>
      </c>
      <c r="C3" s="2" t="s">
        <v>10</v>
      </c>
      <c r="D3">
        <f>1700+2000</f>
        <v>3700</v>
      </c>
      <c r="F3" t="s">
        <v>25</v>
      </c>
      <c r="G3">
        <v>210</v>
      </c>
      <c r="L3" t="s">
        <v>17</v>
      </c>
      <c r="M3">
        <v>299</v>
      </c>
      <c r="N3" t="s">
        <v>14</v>
      </c>
      <c r="O3" t="s">
        <v>21</v>
      </c>
    </row>
    <row r="4" spans="1:15" x14ac:dyDescent="0.25">
      <c r="A4" t="s">
        <v>11</v>
      </c>
      <c r="B4">
        <v>5000</v>
      </c>
      <c r="C4" t="s">
        <v>30</v>
      </c>
      <c r="D4">
        <v>450</v>
      </c>
      <c r="F4" t="s">
        <v>26</v>
      </c>
      <c r="G4">
        <v>153</v>
      </c>
      <c r="L4" t="s">
        <v>18</v>
      </c>
      <c r="M4">
        <v>199</v>
      </c>
      <c r="N4" t="s">
        <v>22</v>
      </c>
      <c r="O4" t="s">
        <v>51</v>
      </c>
    </row>
    <row r="5" spans="1:15" x14ac:dyDescent="0.25">
      <c r="A5" t="s">
        <v>12</v>
      </c>
      <c r="B5">
        <v>2668</v>
      </c>
      <c r="C5" t="s">
        <v>31</v>
      </c>
      <c r="D5">
        <v>150</v>
      </c>
      <c r="F5" t="s">
        <v>28</v>
      </c>
      <c r="G5">
        <v>160</v>
      </c>
      <c r="N5" t="s">
        <v>191</v>
      </c>
    </row>
    <row r="6" spans="1:15" x14ac:dyDescent="0.25">
      <c r="A6" t="s">
        <v>14</v>
      </c>
      <c r="B6">
        <v>2000</v>
      </c>
      <c r="F6" t="s">
        <v>25</v>
      </c>
      <c r="G6">
        <v>350</v>
      </c>
    </row>
    <row r="7" spans="1:15" x14ac:dyDescent="0.25">
      <c r="F7" t="s">
        <v>29</v>
      </c>
      <c r="G7">
        <v>240</v>
      </c>
    </row>
    <row r="8" spans="1:15" x14ac:dyDescent="0.25">
      <c r="F8" t="s">
        <v>32</v>
      </c>
      <c r="G8">
        <v>280</v>
      </c>
      <c r="N8" t="s">
        <v>23</v>
      </c>
      <c r="O8" t="s">
        <v>24</v>
      </c>
    </row>
    <row r="9" spans="1:15" x14ac:dyDescent="0.25">
      <c r="F9" t="s">
        <v>33</v>
      </c>
      <c r="G9">
        <v>260</v>
      </c>
      <c r="H9" t="s">
        <v>34</v>
      </c>
      <c r="I9">
        <v>350</v>
      </c>
      <c r="L9" t="s">
        <v>20</v>
      </c>
      <c r="M9">
        <v>200</v>
      </c>
    </row>
    <row r="10" spans="1:15" x14ac:dyDescent="0.25">
      <c r="F10" t="s">
        <v>27</v>
      </c>
      <c r="G10">
        <v>149</v>
      </c>
      <c r="H10" t="s">
        <v>35</v>
      </c>
      <c r="I10">
        <v>50</v>
      </c>
    </row>
    <row r="11" spans="1:15" x14ac:dyDescent="0.25">
      <c r="A11" t="s">
        <v>54</v>
      </c>
      <c r="F11" t="s">
        <v>25</v>
      </c>
      <c r="G11">
        <v>460</v>
      </c>
    </row>
    <row r="12" spans="1:15" x14ac:dyDescent="0.25">
      <c r="A12" t="s">
        <v>15</v>
      </c>
      <c r="F12" t="s">
        <v>36</v>
      </c>
      <c r="G12">
        <v>200</v>
      </c>
      <c r="L12" t="s">
        <v>42</v>
      </c>
      <c r="M12">
        <v>200</v>
      </c>
    </row>
    <row r="13" spans="1:15" x14ac:dyDescent="0.25">
      <c r="A13" t="s">
        <v>13</v>
      </c>
      <c r="E13">
        <v>202</v>
      </c>
      <c r="F13" t="s">
        <v>25</v>
      </c>
      <c r="G13">
        <v>170</v>
      </c>
      <c r="H13" t="s">
        <v>43</v>
      </c>
      <c r="I13">
        <v>1565</v>
      </c>
    </row>
    <row r="14" spans="1:15" x14ac:dyDescent="0.25">
      <c r="E14">
        <v>280</v>
      </c>
      <c r="F14" t="s">
        <v>37</v>
      </c>
      <c r="G14">
        <v>323</v>
      </c>
    </row>
    <row r="15" spans="1:15" x14ac:dyDescent="0.25">
      <c r="E15">
        <f>94+96</f>
        <v>190</v>
      </c>
      <c r="F15" t="s">
        <v>38</v>
      </c>
      <c r="G15">
        <v>150</v>
      </c>
    </row>
    <row r="16" spans="1:15" x14ac:dyDescent="0.25">
      <c r="E16">
        <f t="shared" ref="E16:E18" si="0">94+96</f>
        <v>190</v>
      </c>
      <c r="F16" t="s">
        <v>41</v>
      </c>
      <c r="G16">
        <v>50</v>
      </c>
    </row>
    <row r="17" spans="1:14" x14ac:dyDescent="0.25">
      <c r="E17">
        <f t="shared" si="0"/>
        <v>190</v>
      </c>
      <c r="F17" t="s">
        <v>39</v>
      </c>
      <c r="G17">
        <v>316</v>
      </c>
      <c r="H17" t="s">
        <v>184</v>
      </c>
      <c r="I17">
        <v>499</v>
      </c>
    </row>
    <row r="18" spans="1:14" x14ac:dyDescent="0.25">
      <c r="E18">
        <f t="shared" si="0"/>
        <v>190</v>
      </c>
      <c r="F18" t="s">
        <v>40</v>
      </c>
    </row>
    <row r="19" spans="1:14" x14ac:dyDescent="0.25">
      <c r="F19" t="s">
        <v>36</v>
      </c>
      <c r="G19">
        <v>250</v>
      </c>
    </row>
    <row r="20" spans="1:14" x14ac:dyDescent="0.25">
      <c r="F20" t="s">
        <v>45</v>
      </c>
      <c r="G20">
        <v>335</v>
      </c>
    </row>
    <row r="21" spans="1:14" x14ac:dyDescent="0.25">
      <c r="E21">
        <v>45</v>
      </c>
      <c r="F21" t="s">
        <v>44</v>
      </c>
      <c r="G21">
        <v>251</v>
      </c>
    </row>
    <row r="22" spans="1:14" x14ac:dyDescent="0.25">
      <c r="E22">
        <v>190</v>
      </c>
      <c r="F22" t="s">
        <v>46</v>
      </c>
      <c r="G22">
        <v>330</v>
      </c>
    </row>
    <row r="23" spans="1:14" x14ac:dyDescent="0.25">
      <c r="F23" t="s">
        <v>25</v>
      </c>
      <c r="G23">
        <v>55</v>
      </c>
      <c r="H23" t="s">
        <v>47</v>
      </c>
      <c r="I23">
        <v>1070</v>
      </c>
    </row>
    <row r="24" spans="1:14" x14ac:dyDescent="0.25">
      <c r="F24" t="s">
        <v>53</v>
      </c>
      <c r="G24">
        <v>20</v>
      </c>
      <c r="H24" t="s">
        <v>48</v>
      </c>
      <c r="I24">
        <v>1200</v>
      </c>
    </row>
    <row r="25" spans="1:14" x14ac:dyDescent="0.25">
      <c r="E25">
        <v>190</v>
      </c>
      <c r="H25" t="s">
        <v>49</v>
      </c>
    </row>
    <row r="26" spans="1:14" x14ac:dyDescent="0.25">
      <c r="E26">
        <v>190</v>
      </c>
    </row>
    <row r="27" spans="1:14" ht="30" x14ac:dyDescent="0.25">
      <c r="A27" t="s">
        <v>56</v>
      </c>
      <c r="C27" t="s">
        <v>52</v>
      </c>
      <c r="E27">
        <v>190</v>
      </c>
      <c r="F27" s="2" t="s">
        <v>58</v>
      </c>
      <c r="G27">
        <v>310</v>
      </c>
      <c r="H27" t="s">
        <v>50</v>
      </c>
      <c r="I27">
        <v>525</v>
      </c>
    </row>
    <row r="28" spans="1:14" x14ac:dyDescent="0.25">
      <c r="E28">
        <v>280</v>
      </c>
      <c r="F28" t="s">
        <v>36</v>
      </c>
      <c r="G28">
        <v>200</v>
      </c>
    </row>
    <row r="29" spans="1:14" ht="30" x14ac:dyDescent="0.25">
      <c r="E29">
        <v>190</v>
      </c>
      <c r="F29" s="2" t="s">
        <v>59</v>
      </c>
      <c r="G29">
        <v>120</v>
      </c>
      <c r="H29" t="s">
        <v>102</v>
      </c>
      <c r="I29">
        <v>259</v>
      </c>
    </row>
    <row r="30" spans="1:14" x14ac:dyDescent="0.25">
      <c r="H30" t="s">
        <v>101</v>
      </c>
      <c r="I30">
        <v>295</v>
      </c>
    </row>
    <row r="32" spans="1:14" x14ac:dyDescent="0.25">
      <c r="B32">
        <f>SUM(B2:B31)</f>
        <v>31668</v>
      </c>
      <c r="D32">
        <f t="shared" ref="D32:M32" si="1">SUM(D2:D31)</f>
        <v>40800</v>
      </c>
      <c r="E32">
        <f t="shared" si="1"/>
        <v>2817</v>
      </c>
      <c r="G32">
        <f>SUM(G2:G31)-3500</f>
        <v>2028</v>
      </c>
      <c r="I32">
        <f t="shared" si="1"/>
        <v>5813</v>
      </c>
      <c r="K32">
        <f t="shared" si="1"/>
        <v>0</v>
      </c>
      <c r="M32">
        <f t="shared" si="1"/>
        <v>898</v>
      </c>
      <c r="N32" s="1">
        <f>SUM(B32:M32)</f>
        <v>84024</v>
      </c>
    </row>
    <row r="33" spans="6:6" x14ac:dyDescent="0.25">
      <c r="F33" t="s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>
      <selection activeCell="N15" sqref="N15"/>
    </sheetView>
  </sheetViews>
  <sheetFormatPr defaultRowHeight="15" x14ac:dyDescent="0.25"/>
  <cols>
    <col min="1" max="1" width="15.5703125" customWidth="1"/>
    <col min="3" max="3" width="15.140625" customWidth="1"/>
    <col min="5" max="5" width="15.5703125" bestFit="1" customWidth="1"/>
    <col min="6" max="6" width="29.140625" customWidth="1"/>
    <col min="8" max="8" width="18.42578125" customWidth="1"/>
    <col min="12" max="12" width="20.85546875" customWidth="1"/>
    <col min="14" max="14" width="12.855468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20000</v>
      </c>
      <c r="C2" t="s">
        <v>8</v>
      </c>
      <c r="D2">
        <v>36500</v>
      </c>
      <c r="F2" t="s">
        <v>60</v>
      </c>
      <c r="G2">
        <v>600</v>
      </c>
    </row>
    <row r="3" spans="1:15" ht="30" x14ac:dyDescent="0.25">
      <c r="A3" t="s">
        <v>9</v>
      </c>
      <c r="B3">
        <v>2000</v>
      </c>
      <c r="C3" s="2" t="s">
        <v>57</v>
      </c>
      <c r="D3">
        <v>1700</v>
      </c>
      <c r="E3">
        <f>94+96</f>
        <v>190</v>
      </c>
      <c r="F3" t="s">
        <v>25</v>
      </c>
      <c r="G3">
        <v>510</v>
      </c>
      <c r="H3" t="s">
        <v>61</v>
      </c>
      <c r="I3">
        <v>558</v>
      </c>
    </row>
    <row r="4" spans="1:15" x14ac:dyDescent="0.25">
      <c r="A4" t="s">
        <v>11</v>
      </c>
      <c r="B4">
        <v>5000</v>
      </c>
      <c r="E4">
        <f t="shared" ref="E4" si="0">94+96</f>
        <v>190</v>
      </c>
      <c r="F4" t="s">
        <v>68</v>
      </c>
      <c r="G4">
        <v>324</v>
      </c>
    </row>
    <row r="5" spans="1:15" x14ac:dyDescent="0.25">
      <c r="A5" t="s">
        <v>12</v>
      </c>
      <c r="B5">
        <v>2668</v>
      </c>
      <c r="E5">
        <v>45</v>
      </c>
      <c r="F5" t="s">
        <v>36</v>
      </c>
      <c r="G5">
        <v>150</v>
      </c>
      <c r="H5" t="s">
        <v>183</v>
      </c>
      <c r="I5">
        <v>357</v>
      </c>
    </row>
    <row r="6" spans="1:15" x14ac:dyDescent="0.25">
      <c r="A6" t="s">
        <v>14</v>
      </c>
      <c r="B6">
        <v>2000</v>
      </c>
      <c r="E6">
        <f>45+121</f>
        <v>166</v>
      </c>
      <c r="F6" t="s">
        <v>72</v>
      </c>
      <c r="G6">
        <v>923</v>
      </c>
      <c r="H6" t="s">
        <v>64</v>
      </c>
      <c r="I6">
        <v>205</v>
      </c>
      <c r="N6" t="s">
        <v>14</v>
      </c>
      <c r="O6" t="s">
        <v>21</v>
      </c>
    </row>
    <row r="7" spans="1:15" x14ac:dyDescent="0.25">
      <c r="A7" t="s">
        <v>74</v>
      </c>
      <c r="B7">
        <v>3000</v>
      </c>
      <c r="E7">
        <v>280</v>
      </c>
      <c r="F7" t="s">
        <v>36</v>
      </c>
      <c r="G7">
        <v>200</v>
      </c>
      <c r="N7" t="s">
        <v>22</v>
      </c>
      <c r="O7" t="s">
        <v>87</v>
      </c>
    </row>
    <row r="8" spans="1:15" x14ac:dyDescent="0.25">
      <c r="F8" t="s">
        <v>66</v>
      </c>
      <c r="G8">
        <v>100</v>
      </c>
      <c r="L8" t="s">
        <v>17</v>
      </c>
      <c r="M8">
        <v>299</v>
      </c>
      <c r="N8" t="s">
        <v>191</v>
      </c>
    </row>
    <row r="9" spans="1:15" x14ac:dyDescent="0.25">
      <c r="F9" t="s">
        <v>65</v>
      </c>
      <c r="G9">
        <v>129</v>
      </c>
      <c r="H9" t="s">
        <v>67</v>
      </c>
      <c r="I9">
        <v>3600</v>
      </c>
      <c r="L9" t="s">
        <v>18</v>
      </c>
      <c r="M9">
        <v>199</v>
      </c>
    </row>
    <row r="10" spans="1:15" x14ac:dyDescent="0.25">
      <c r="C10" t="s">
        <v>63</v>
      </c>
      <c r="F10" t="s">
        <v>36</v>
      </c>
      <c r="G10">
        <v>250</v>
      </c>
    </row>
    <row r="11" spans="1:15" x14ac:dyDescent="0.25">
      <c r="A11" t="s">
        <v>55</v>
      </c>
      <c r="E11">
        <f>94+96</f>
        <v>190</v>
      </c>
      <c r="F11" t="s">
        <v>73</v>
      </c>
      <c r="G11">
        <v>354</v>
      </c>
      <c r="H11" t="s">
        <v>69</v>
      </c>
      <c r="I11">
        <v>354</v>
      </c>
      <c r="L11" t="s">
        <v>19</v>
      </c>
      <c r="M11">
        <v>1534</v>
      </c>
      <c r="N11" t="s">
        <v>23</v>
      </c>
      <c r="O11" t="s">
        <v>24</v>
      </c>
    </row>
    <row r="12" spans="1:15" x14ac:dyDescent="0.25">
      <c r="A12" t="s">
        <v>62</v>
      </c>
      <c r="E12">
        <f t="shared" ref="E12:E14" si="1">94+96</f>
        <v>190</v>
      </c>
      <c r="F12" t="s">
        <v>36</v>
      </c>
      <c r="G12">
        <v>250</v>
      </c>
      <c r="H12" t="s">
        <v>75</v>
      </c>
      <c r="I12">
        <v>38</v>
      </c>
    </row>
    <row r="13" spans="1:15" x14ac:dyDescent="0.25">
      <c r="A13" t="s">
        <v>13</v>
      </c>
      <c r="E13">
        <f t="shared" si="1"/>
        <v>190</v>
      </c>
      <c r="F13" t="s">
        <v>76</v>
      </c>
      <c r="G13">
        <v>1199</v>
      </c>
    </row>
    <row r="14" spans="1:15" x14ac:dyDescent="0.25">
      <c r="E14">
        <f t="shared" si="1"/>
        <v>190</v>
      </c>
      <c r="H14" t="s">
        <v>77</v>
      </c>
      <c r="I14">
        <v>130</v>
      </c>
      <c r="L14" t="s">
        <v>20</v>
      </c>
      <c r="M14">
        <v>200</v>
      </c>
    </row>
    <row r="15" spans="1:15" x14ac:dyDescent="0.25">
      <c r="E15">
        <v>62</v>
      </c>
      <c r="F15" t="s">
        <v>78</v>
      </c>
      <c r="G15">
        <v>84</v>
      </c>
    </row>
    <row r="16" spans="1:15" x14ac:dyDescent="0.25">
      <c r="F16" t="s">
        <v>36</v>
      </c>
      <c r="G16">
        <v>200</v>
      </c>
      <c r="H16" t="s">
        <v>181</v>
      </c>
      <c r="I16">
        <v>400</v>
      </c>
    </row>
    <row r="17" spans="2:14" x14ac:dyDescent="0.25">
      <c r="F17" t="s">
        <v>16</v>
      </c>
      <c r="G17">
        <v>232</v>
      </c>
    </row>
    <row r="18" spans="2:14" x14ac:dyDescent="0.25">
      <c r="C18" t="s">
        <v>79</v>
      </c>
      <c r="E18">
        <v>220</v>
      </c>
      <c r="H18" t="s">
        <v>182</v>
      </c>
      <c r="I18">
        <v>199</v>
      </c>
    </row>
    <row r="19" spans="2:14" x14ac:dyDescent="0.25">
      <c r="E19">
        <f>94+96</f>
        <v>190</v>
      </c>
    </row>
    <row r="20" spans="2:14" x14ac:dyDescent="0.25">
      <c r="E20">
        <f t="shared" ref="E20:E22" si="2">94+96</f>
        <v>190</v>
      </c>
      <c r="F20" t="s">
        <v>81</v>
      </c>
      <c r="G20">
        <v>193</v>
      </c>
    </row>
    <row r="21" spans="2:14" x14ac:dyDescent="0.25">
      <c r="E21">
        <f t="shared" si="2"/>
        <v>190</v>
      </c>
      <c r="F21" t="s">
        <v>36</v>
      </c>
      <c r="G21">
        <v>160</v>
      </c>
    </row>
    <row r="22" spans="2:14" x14ac:dyDescent="0.25">
      <c r="E22">
        <f t="shared" si="2"/>
        <v>190</v>
      </c>
      <c r="F22" t="s">
        <v>84</v>
      </c>
      <c r="G22">
        <v>145</v>
      </c>
      <c r="J22" t="s">
        <v>80</v>
      </c>
      <c r="K22">
        <v>2500</v>
      </c>
    </row>
    <row r="23" spans="2:14" x14ac:dyDescent="0.25">
      <c r="E23">
        <v>370</v>
      </c>
      <c r="F23" t="s">
        <v>85</v>
      </c>
      <c r="G23">
        <v>150</v>
      </c>
    </row>
    <row r="24" spans="2:14" x14ac:dyDescent="0.25">
      <c r="E24">
        <v>280</v>
      </c>
      <c r="F24" t="s">
        <v>25</v>
      </c>
      <c r="G24">
        <v>255</v>
      </c>
      <c r="L24" t="s">
        <v>86</v>
      </c>
      <c r="M24">
        <v>9000</v>
      </c>
    </row>
    <row r="25" spans="2:14" x14ac:dyDescent="0.25">
      <c r="C25" t="s">
        <v>88</v>
      </c>
      <c r="E25">
        <v>45</v>
      </c>
      <c r="F25" t="s">
        <v>90</v>
      </c>
      <c r="G25">
        <v>70</v>
      </c>
    </row>
    <row r="26" spans="2:14" x14ac:dyDescent="0.25">
      <c r="E26">
        <v>45</v>
      </c>
      <c r="F26" t="s">
        <v>91</v>
      </c>
      <c r="G26">
        <v>118</v>
      </c>
    </row>
    <row r="27" spans="2:14" x14ac:dyDescent="0.25">
      <c r="E27">
        <f t="shared" ref="E27:E28" si="3">94+96</f>
        <v>190</v>
      </c>
      <c r="F27" t="s">
        <v>92</v>
      </c>
      <c r="G27">
        <v>100</v>
      </c>
    </row>
    <row r="28" spans="2:14" x14ac:dyDescent="0.25">
      <c r="E28">
        <f t="shared" si="3"/>
        <v>190</v>
      </c>
      <c r="H28" t="s">
        <v>89</v>
      </c>
      <c r="I28">
        <v>300</v>
      </c>
    </row>
    <row r="29" spans="2:14" x14ac:dyDescent="0.25">
      <c r="F29" t="s">
        <v>93</v>
      </c>
      <c r="G29">
        <v>600</v>
      </c>
    </row>
    <row r="30" spans="2:14" x14ac:dyDescent="0.25">
      <c r="B30">
        <f>SUM(B2:B29)</f>
        <v>34668</v>
      </c>
      <c r="D30">
        <f t="shared" ref="D30:M30" si="4">SUM(D2:D29)</f>
        <v>38200</v>
      </c>
      <c r="E30">
        <f t="shared" si="4"/>
        <v>3793</v>
      </c>
      <c r="G30">
        <f>SUM(G2:G29)-3500</f>
        <v>3796</v>
      </c>
      <c r="I30">
        <f t="shared" si="4"/>
        <v>6141</v>
      </c>
      <c r="K30">
        <f t="shared" si="4"/>
        <v>2500</v>
      </c>
      <c r="M30">
        <f t="shared" si="4"/>
        <v>11232</v>
      </c>
      <c r="N30" s="1">
        <f>SUM(B30:M30)</f>
        <v>100330</v>
      </c>
    </row>
    <row r="31" spans="2:14" x14ac:dyDescent="0.25">
      <c r="F31" t="s">
        <v>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C1" workbookViewId="0">
      <pane ySplit="1" topLeftCell="A15" activePane="bottomLeft" state="frozen"/>
      <selection activeCell="D1" sqref="D1"/>
      <selection pane="bottomLeft" activeCell="L34" sqref="L34"/>
    </sheetView>
  </sheetViews>
  <sheetFormatPr defaultRowHeight="15" x14ac:dyDescent="0.25"/>
  <cols>
    <col min="1" max="1" width="18.5703125" customWidth="1"/>
    <col min="3" max="3" width="16.5703125" customWidth="1"/>
    <col min="5" max="5" width="23.7109375" customWidth="1"/>
    <col min="6" max="6" width="28.140625" customWidth="1"/>
    <col min="8" max="8" width="28.7109375" customWidth="1"/>
    <col min="10" max="10" width="19" customWidth="1"/>
    <col min="12" max="12" width="16.7109375" customWidth="1"/>
    <col min="14" max="14" width="15.855468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20000</v>
      </c>
      <c r="C2" t="s">
        <v>8</v>
      </c>
      <c r="D2">
        <v>36500</v>
      </c>
      <c r="E2">
        <v>280</v>
      </c>
    </row>
    <row r="3" spans="1:15" ht="19.5" customHeight="1" x14ac:dyDescent="0.25">
      <c r="A3" t="s">
        <v>9</v>
      </c>
      <c r="B3">
        <v>2000</v>
      </c>
      <c r="C3" s="2" t="s">
        <v>57</v>
      </c>
      <c r="D3">
        <v>1500</v>
      </c>
      <c r="E3">
        <f>94+96</f>
        <v>190</v>
      </c>
      <c r="F3" t="s">
        <v>16</v>
      </c>
      <c r="G3">
        <v>196</v>
      </c>
      <c r="H3" t="s">
        <v>96</v>
      </c>
      <c r="I3">
        <v>930</v>
      </c>
      <c r="J3" s="2" t="s">
        <v>94</v>
      </c>
      <c r="K3">
        <v>150</v>
      </c>
      <c r="N3" t="s">
        <v>14</v>
      </c>
      <c r="O3" t="s">
        <v>21</v>
      </c>
    </row>
    <row r="4" spans="1:15" x14ac:dyDescent="0.25">
      <c r="A4" t="s">
        <v>11</v>
      </c>
      <c r="B4">
        <v>5000</v>
      </c>
      <c r="C4" t="s">
        <v>103</v>
      </c>
      <c r="D4">
        <f>74000+26000</f>
        <v>100000</v>
      </c>
      <c r="E4">
        <f t="shared" ref="E4" si="0">94+96</f>
        <v>190</v>
      </c>
      <c r="F4" t="s">
        <v>25</v>
      </c>
      <c r="G4">
        <v>100</v>
      </c>
      <c r="N4" t="s">
        <v>22</v>
      </c>
      <c r="O4" t="s">
        <v>87</v>
      </c>
    </row>
    <row r="5" spans="1:15" x14ac:dyDescent="0.25">
      <c r="A5" t="s">
        <v>12</v>
      </c>
      <c r="B5">
        <v>2668</v>
      </c>
      <c r="C5" t="s">
        <v>137</v>
      </c>
      <c r="E5">
        <f>94+135</f>
        <v>229</v>
      </c>
      <c r="F5" t="s">
        <v>36</v>
      </c>
      <c r="G5">
        <v>200</v>
      </c>
      <c r="N5" t="s">
        <v>191</v>
      </c>
    </row>
    <row r="6" spans="1:15" x14ac:dyDescent="0.25">
      <c r="A6" t="s">
        <v>14</v>
      </c>
      <c r="B6">
        <v>2000</v>
      </c>
      <c r="E6">
        <f>94+118</f>
        <v>212</v>
      </c>
      <c r="F6" t="s">
        <v>105</v>
      </c>
      <c r="G6">
        <v>50</v>
      </c>
      <c r="H6" t="s">
        <v>97</v>
      </c>
      <c r="I6">
        <v>870</v>
      </c>
    </row>
    <row r="7" spans="1:15" x14ac:dyDescent="0.25">
      <c r="A7" t="s">
        <v>74</v>
      </c>
      <c r="B7">
        <v>1000</v>
      </c>
      <c r="F7" t="s">
        <v>136</v>
      </c>
      <c r="G7">
        <v>160</v>
      </c>
      <c r="H7" t="s">
        <v>118</v>
      </c>
      <c r="I7">
        <v>399</v>
      </c>
    </row>
    <row r="8" spans="1:15" x14ac:dyDescent="0.25">
      <c r="A8" t="s">
        <v>131</v>
      </c>
      <c r="B8">
        <v>18500</v>
      </c>
      <c r="E8">
        <v>306</v>
      </c>
      <c r="F8" t="s">
        <v>104</v>
      </c>
      <c r="G8">
        <v>100</v>
      </c>
      <c r="H8" t="s">
        <v>98</v>
      </c>
      <c r="I8">
        <v>791</v>
      </c>
      <c r="L8" t="s">
        <v>17</v>
      </c>
      <c r="M8">
        <v>299</v>
      </c>
      <c r="N8" t="s">
        <v>23</v>
      </c>
      <c r="O8" t="s">
        <v>24</v>
      </c>
    </row>
    <row r="9" spans="1:15" x14ac:dyDescent="0.25">
      <c r="E9">
        <f>94+96</f>
        <v>190</v>
      </c>
      <c r="F9" t="s">
        <v>104</v>
      </c>
      <c r="G9">
        <v>110</v>
      </c>
      <c r="H9" t="s">
        <v>99</v>
      </c>
      <c r="I9">
        <v>392</v>
      </c>
      <c r="L9" t="s">
        <v>18</v>
      </c>
      <c r="M9">
        <v>199</v>
      </c>
    </row>
    <row r="10" spans="1:15" x14ac:dyDescent="0.25">
      <c r="E10">
        <f t="shared" ref="E10:E12" si="1">94+96</f>
        <v>190</v>
      </c>
      <c r="F10" t="s">
        <v>135</v>
      </c>
      <c r="G10">
        <v>10</v>
      </c>
    </row>
    <row r="11" spans="1:15" x14ac:dyDescent="0.25">
      <c r="A11" t="s">
        <v>82</v>
      </c>
      <c r="E11">
        <f t="shared" si="1"/>
        <v>190</v>
      </c>
      <c r="F11" t="s">
        <v>106</v>
      </c>
      <c r="G11">
        <v>150</v>
      </c>
      <c r="H11" t="s">
        <v>100</v>
      </c>
      <c r="I11">
        <v>349</v>
      </c>
      <c r="L11" t="s">
        <v>19</v>
      </c>
      <c r="M11">
        <v>1284</v>
      </c>
    </row>
    <row r="12" spans="1:15" x14ac:dyDescent="0.25">
      <c r="A12" t="s">
        <v>83</v>
      </c>
      <c r="E12">
        <f t="shared" si="1"/>
        <v>190</v>
      </c>
      <c r="F12" t="s">
        <v>107</v>
      </c>
      <c r="G12">
        <v>40</v>
      </c>
      <c r="H12" t="s">
        <v>116</v>
      </c>
      <c r="I12">
        <v>259</v>
      </c>
      <c r="L12" t="s">
        <v>95</v>
      </c>
      <c r="M12">
        <v>1578</v>
      </c>
    </row>
    <row r="13" spans="1:15" x14ac:dyDescent="0.25">
      <c r="A13" t="s">
        <v>13</v>
      </c>
      <c r="C13" t="s">
        <v>110</v>
      </c>
      <c r="E13">
        <f>173+160</f>
        <v>333</v>
      </c>
      <c r="F13" t="s">
        <v>108</v>
      </c>
      <c r="G13">
        <v>178</v>
      </c>
      <c r="H13" t="s">
        <v>117</v>
      </c>
      <c r="I13">
        <v>699</v>
      </c>
    </row>
    <row r="14" spans="1:15" x14ac:dyDescent="0.25">
      <c r="C14" t="s">
        <v>113</v>
      </c>
      <c r="E14">
        <v>81</v>
      </c>
      <c r="F14" t="s">
        <v>109</v>
      </c>
      <c r="G14">
        <v>130</v>
      </c>
      <c r="L14" t="s">
        <v>20</v>
      </c>
      <c r="M14">
        <v>200</v>
      </c>
    </row>
    <row r="15" spans="1:15" ht="30" x14ac:dyDescent="0.25">
      <c r="E15">
        <v>280</v>
      </c>
      <c r="F15" s="2" t="s">
        <v>112</v>
      </c>
      <c r="G15">
        <v>300</v>
      </c>
      <c r="J15" t="s">
        <v>115</v>
      </c>
      <c r="K15">
        <v>500</v>
      </c>
    </row>
    <row r="16" spans="1:15" x14ac:dyDescent="0.25">
      <c r="E16">
        <f>94+96</f>
        <v>190</v>
      </c>
      <c r="F16" t="s">
        <v>114</v>
      </c>
      <c r="G16">
        <v>300</v>
      </c>
    </row>
    <row r="17" spans="1:14" x14ac:dyDescent="0.25">
      <c r="E17">
        <f t="shared" ref="E17:E19" si="2">94+96</f>
        <v>190</v>
      </c>
      <c r="F17" t="s">
        <v>111</v>
      </c>
      <c r="G17">
        <v>372</v>
      </c>
      <c r="H17" t="s">
        <v>179</v>
      </c>
      <c r="I17">
        <v>870</v>
      </c>
    </row>
    <row r="18" spans="1:14" x14ac:dyDescent="0.25">
      <c r="E18">
        <f t="shared" si="2"/>
        <v>190</v>
      </c>
      <c r="F18" t="s">
        <v>119</v>
      </c>
      <c r="G18">
        <v>100</v>
      </c>
    </row>
    <row r="19" spans="1:14" x14ac:dyDescent="0.25">
      <c r="E19">
        <f t="shared" si="2"/>
        <v>190</v>
      </c>
      <c r="F19" t="s">
        <v>104</v>
      </c>
      <c r="G19">
        <v>110</v>
      </c>
      <c r="H19" t="s">
        <v>180</v>
      </c>
      <c r="I19">
        <v>349</v>
      </c>
    </row>
    <row r="20" spans="1:14" x14ac:dyDescent="0.25">
      <c r="F20" t="s">
        <v>120</v>
      </c>
      <c r="G20">
        <v>135</v>
      </c>
    </row>
    <row r="21" spans="1:14" x14ac:dyDescent="0.25">
      <c r="F21" t="s">
        <v>104</v>
      </c>
      <c r="G21">
        <v>110</v>
      </c>
    </row>
    <row r="22" spans="1:14" x14ac:dyDescent="0.25">
      <c r="F22" t="s">
        <v>121</v>
      </c>
      <c r="G22">
        <v>60</v>
      </c>
    </row>
    <row r="23" spans="1:14" x14ac:dyDescent="0.25">
      <c r="E23">
        <v>280</v>
      </c>
      <c r="F23" t="s">
        <v>129</v>
      </c>
      <c r="G23">
        <v>50</v>
      </c>
      <c r="H23" t="s">
        <v>126</v>
      </c>
      <c r="I23">
        <v>800</v>
      </c>
    </row>
    <row r="24" spans="1:14" x14ac:dyDescent="0.25">
      <c r="F24" t="s">
        <v>122</v>
      </c>
      <c r="G24">
        <v>329</v>
      </c>
    </row>
    <row r="25" spans="1:14" x14ac:dyDescent="0.25">
      <c r="A25" t="s">
        <v>140</v>
      </c>
      <c r="C25" t="s">
        <v>124</v>
      </c>
      <c r="E25">
        <f t="shared" ref="E25:E27" si="3">94+96</f>
        <v>190</v>
      </c>
      <c r="F25" t="s">
        <v>111</v>
      </c>
      <c r="G25">
        <v>80</v>
      </c>
    </row>
    <row r="26" spans="1:14" x14ac:dyDescent="0.25">
      <c r="E26">
        <f t="shared" si="3"/>
        <v>190</v>
      </c>
      <c r="F26" t="s">
        <v>123</v>
      </c>
      <c r="G26">
        <v>60</v>
      </c>
    </row>
    <row r="27" spans="1:14" x14ac:dyDescent="0.25">
      <c r="E27">
        <f t="shared" si="3"/>
        <v>190</v>
      </c>
      <c r="F27" t="s">
        <v>125</v>
      </c>
      <c r="G27">
        <v>280</v>
      </c>
      <c r="H27" t="s">
        <v>127</v>
      </c>
      <c r="I27">
        <v>1500</v>
      </c>
    </row>
    <row r="28" spans="1:14" x14ac:dyDescent="0.25">
      <c r="E28">
        <f>100+96+23</f>
        <v>219</v>
      </c>
      <c r="F28" t="s">
        <v>128</v>
      </c>
      <c r="G28">
        <v>440</v>
      </c>
    </row>
    <row r="29" spans="1:14" x14ac:dyDescent="0.25">
      <c r="E29">
        <f>180+480</f>
        <v>660</v>
      </c>
      <c r="F29" t="s">
        <v>133</v>
      </c>
      <c r="G29">
        <f>260+320</f>
        <v>580</v>
      </c>
      <c r="H29" t="s">
        <v>130</v>
      </c>
      <c r="I29">
        <v>1500</v>
      </c>
    </row>
    <row r="30" spans="1:14" x14ac:dyDescent="0.25">
      <c r="F30" t="s">
        <v>132</v>
      </c>
      <c r="G30">
        <v>1300</v>
      </c>
    </row>
    <row r="31" spans="1:14" x14ac:dyDescent="0.25">
      <c r="F31" t="s">
        <v>134</v>
      </c>
      <c r="G31">
        <v>413</v>
      </c>
    </row>
    <row r="32" spans="1:14" x14ac:dyDescent="0.25">
      <c r="B32">
        <f>SUM(B2:B31)</f>
        <v>51168</v>
      </c>
      <c r="D32">
        <f t="shared" ref="D32:M32" si="4">SUM(D2:D31)</f>
        <v>138000</v>
      </c>
      <c r="E32">
        <f t="shared" si="4"/>
        <v>5350</v>
      </c>
      <c r="G32">
        <f t="shared" si="4"/>
        <v>6443</v>
      </c>
      <c r="I32">
        <f t="shared" si="4"/>
        <v>9708</v>
      </c>
      <c r="K32">
        <f t="shared" si="4"/>
        <v>650</v>
      </c>
      <c r="M32">
        <f t="shared" si="4"/>
        <v>3560</v>
      </c>
      <c r="N32">
        <f>SUM(B32:M32)</f>
        <v>214879</v>
      </c>
    </row>
    <row r="33" spans="6:14" x14ac:dyDescent="0.25">
      <c r="F33" t="s">
        <v>152</v>
      </c>
      <c r="N33" s="1">
        <f>SUM(B32:M32)-100000-18500</f>
        <v>96379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workbookViewId="0">
      <pane ySplit="1" topLeftCell="A16" activePane="bottomLeft" state="frozen"/>
      <selection pane="bottomLeft" activeCell="C23" sqref="C23"/>
    </sheetView>
  </sheetViews>
  <sheetFormatPr defaultRowHeight="15" x14ac:dyDescent="0.25"/>
  <cols>
    <col min="1" max="1" width="17.5703125" customWidth="1"/>
    <col min="3" max="3" width="15.7109375" customWidth="1"/>
    <col min="5" max="5" width="18.28515625" customWidth="1"/>
    <col min="6" max="6" width="30.5703125" customWidth="1"/>
    <col min="8" max="8" width="24" customWidth="1"/>
    <col min="12" max="12" width="18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25">
      <c r="A2" t="s">
        <v>7</v>
      </c>
      <c r="B2">
        <v>23000</v>
      </c>
      <c r="C2" t="s">
        <v>8</v>
      </c>
      <c r="D2">
        <v>36500</v>
      </c>
      <c r="F2" t="s">
        <v>16</v>
      </c>
      <c r="G2">
        <v>210</v>
      </c>
      <c r="H2" t="s">
        <v>178</v>
      </c>
      <c r="I2">
        <v>299</v>
      </c>
    </row>
    <row r="3" spans="1:16" ht="30" x14ac:dyDescent="0.25">
      <c r="A3" t="s">
        <v>9</v>
      </c>
      <c r="B3">
        <v>3000</v>
      </c>
      <c r="C3" s="2" t="s">
        <v>57</v>
      </c>
      <c r="D3">
        <v>1500</v>
      </c>
      <c r="F3" t="s">
        <v>138</v>
      </c>
      <c r="G3">
        <v>3000</v>
      </c>
      <c r="H3" t="s">
        <v>141</v>
      </c>
      <c r="I3">
        <v>774</v>
      </c>
      <c r="O3" t="s">
        <v>14</v>
      </c>
      <c r="P3" t="s">
        <v>21</v>
      </c>
    </row>
    <row r="4" spans="1:16" x14ac:dyDescent="0.25">
      <c r="A4" t="s">
        <v>11</v>
      </c>
      <c r="B4">
        <v>5000</v>
      </c>
      <c r="E4">
        <v>36</v>
      </c>
      <c r="F4" t="s">
        <v>143</v>
      </c>
      <c r="G4">
        <v>70</v>
      </c>
      <c r="H4" t="s">
        <v>142</v>
      </c>
    </row>
    <row r="5" spans="1:16" x14ac:dyDescent="0.25">
      <c r="A5" t="s">
        <v>12</v>
      </c>
      <c r="B5">
        <v>2668</v>
      </c>
      <c r="E5">
        <f t="shared" ref="E5:E7" si="0">94+96</f>
        <v>190</v>
      </c>
      <c r="F5" t="s">
        <v>145</v>
      </c>
      <c r="G5">
        <v>110</v>
      </c>
      <c r="H5" t="s">
        <v>177</v>
      </c>
      <c r="I5">
        <v>150</v>
      </c>
      <c r="O5" t="s">
        <v>191</v>
      </c>
    </row>
    <row r="6" spans="1:16" x14ac:dyDescent="0.25">
      <c r="A6" t="s">
        <v>14</v>
      </c>
      <c r="B6">
        <v>2000</v>
      </c>
      <c r="E6">
        <f t="shared" si="0"/>
        <v>190</v>
      </c>
      <c r="F6" t="s">
        <v>146</v>
      </c>
      <c r="G6">
        <v>215</v>
      </c>
      <c r="H6" t="s">
        <v>167</v>
      </c>
      <c r="I6">
        <v>700</v>
      </c>
      <c r="L6" t="s">
        <v>17</v>
      </c>
      <c r="M6">
        <v>299</v>
      </c>
    </row>
    <row r="7" spans="1:16" x14ac:dyDescent="0.25">
      <c r="A7" t="s">
        <v>74</v>
      </c>
      <c r="B7">
        <v>1000</v>
      </c>
      <c r="E7">
        <f t="shared" si="0"/>
        <v>190</v>
      </c>
      <c r="F7" t="s">
        <v>147</v>
      </c>
      <c r="G7">
        <v>100</v>
      </c>
      <c r="L7" t="s">
        <v>18</v>
      </c>
      <c r="M7">
        <v>199</v>
      </c>
    </row>
    <row r="8" spans="1:16" x14ac:dyDescent="0.25">
      <c r="A8" t="s">
        <v>168</v>
      </c>
      <c r="B8">
        <v>10000</v>
      </c>
      <c r="F8" t="s">
        <v>148</v>
      </c>
      <c r="G8">
        <v>1200</v>
      </c>
      <c r="O8" t="s">
        <v>23</v>
      </c>
      <c r="P8" t="s">
        <v>24</v>
      </c>
    </row>
    <row r="9" spans="1:16" x14ac:dyDescent="0.25">
      <c r="F9" t="s">
        <v>90</v>
      </c>
      <c r="G9">
        <v>45</v>
      </c>
      <c r="H9" t="s">
        <v>144</v>
      </c>
      <c r="I9">
        <f>282+281+224+652-140-630</f>
        <v>669</v>
      </c>
      <c r="L9" t="s">
        <v>19</v>
      </c>
      <c r="M9">
        <v>1466</v>
      </c>
    </row>
    <row r="10" spans="1:16" x14ac:dyDescent="0.25">
      <c r="E10">
        <f>115+96+23</f>
        <v>234</v>
      </c>
      <c r="F10" t="s">
        <v>36</v>
      </c>
      <c r="G10">
        <v>200</v>
      </c>
    </row>
    <row r="11" spans="1:16" x14ac:dyDescent="0.25">
      <c r="E11">
        <f t="shared" ref="E11:E13" si="1">94+96</f>
        <v>190</v>
      </c>
      <c r="F11" t="s">
        <v>155</v>
      </c>
      <c r="G11">
        <v>120</v>
      </c>
    </row>
    <row r="12" spans="1:16" x14ac:dyDescent="0.25">
      <c r="E12">
        <f t="shared" si="1"/>
        <v>190</v>
      </c>
      <c r="L12" t="s">
        <v>20</v>
      </c>
      <c r="M12">
        <v>200</v>
      </c>
    </row>
    <row r="13" spans="1:16" x14ac:dyDescent="0.25">
      <c r="A13" t="s">
        <v>175</v>
      </c>
      <c r="E13">
        <f t="shared" si="1"/>
        <v>190</v>
      </c>
      <c r="F13" t="s">
        <v>156</v>
      </c>
      <c r="G13">
        <v>600</v>
      </c>
    </row>
    <row r="14" spans="1:16" x14ac:dyDescent="0.25">
      <c r="A14" t="s">
        <v>139</v>
      </c>
      <c r="F14" t="s">
        <v>158</v>
      </c>
      <c r="G14">
        <v>220</v>
      </c>
      <c r="L14" t="s">
        <v>150</v>
      </c>
      <c r="M14">
        <v>1080</v>
      </c>
    </row>
    <row r="15" spans="1:16" x14ac:dyDescent="0.25">
      <c r="A15" t="s">
        <v>169</v>
      </c>
      <c r="F15" t="s">
        <v>159</v>
      </c>
      <c r="G15">
        <v>30</v>
      </c>
      <c r="H15" t="s">
        <v>157</v>
      </c>
      <c r="I15">
        <v>200</v>
      </c>
    </row>
    <row r="16" spans="1:16" x14ac:dyDescent="0.25">
      <c r="L16" t="s">
        <v>154</v>
      </c>
      <c r="M16">
        <v>550</v>
      </c>
    </row>
    <row r="17" spans="1:14" x14ac:dyDescent="0.25">
      <c r="E17">
        <f>94+395</f>
        <v>489</v>
      </c>
      <c r="F17" t="s">
        <v>160</v>
      </c>
      <c r="G17">
        <v>213</v>
      </c>
      <c r="H17" t="s">
        <v>153</v>
      </c>
      <c r="I17">
        <v>4559</v>
      </c>
      <c r="L17" t="s">
        <v>151</v>
      </c>
      <c r="M17">
        <f>50+330</f>
        <v>380</v>
      </c>
    </row>
    <row r="18" spans="1:14" x14ac:dyDescent="0.25">
      <c r="E18">
        <f t="shared" ref="E18:E20" si="2">94+96</f>
        <v>190</v>
      </c>
      <c r="F18" t="s">
        <v>123</v>
      </c>
      <c r="G18">
        <v>50</v>
      </c>
    </row>
    <row r="19" spans="1:14" x14ac:dyDescent="0.25">
      <c r="E19">
        <f t="shared" si="2"/>
        <v>190</v>
      </c>
      <c r="L19" t="s">
        <v>164</v>
      </c>
      <c r="M19">
        <v>5200</v>
      </c>
    </row>
    <row r="20" spans="1:14" x14ac:dyDescent="0.25">
      <c r="E20">
        <f t="shared" si="2"/>
        <v>190</v>
      </c>
      <c r="F20" t="s">
        <v>161</v>
      </c>
      <c r="G20">
        <v>242</v>
      </c>
    </row>
    <row r="21" spans="1:14" x14ac:dyDescent="0.25">
      <c r="A21" t="s">
        <v>153</v>
      </c>
      <c r="F21" t="s">
        <v>162</v>
      </c>
      <c r="G21">
        <v>180</v>
      </c>
      <c r="L21" t="s">
        <v>165</v>
      </c>
      <c r="M21">
        <v>1700</v>
      </c>
    </row>
    <row r="22" spans="1:14" x14ac:dyDescent="0.25">
      <c r="F22" t="s">
        <v>163</v>
      </c>
      <c r="G22">
        <v>750</v>
      </c>
      <c r="L22" t="s">
        <v>166</v>
      </c>
      <c r="M22">
        <v>580</v>
      </c>
    </row>
    <row r="24" spans="1:14" x14ac:dyDescent="0.25">
      <c r="F24" t="s">
        <v>172</v>
      </c>
      <c r="G24">
        <v>100</v>
      </c>
    </row>
    <row r="25" spans="1:14" x14ac:dyDescent="0.25">
      <c r="E25">
        <f t="shared" ref="E25:E26" si="3">94+96</f>
        <v>190</v>
      </c>
      <c r="F25" t="s">
        <v>173</v>
      </c>
      <c r="G25">
        <v>80</v>
      </c>
    </row>
    <row r="26" spans="1:14" x14ac:dyDescent="0.25">
      <c r="E26">
        <f t="shared" si="3"/>
        <v>190</v>
      </c>
      <c r="H26" t="s">
        <v>171</v>
      </c>
      <c r="I26">
        <v>120</v>
      </c>
    </row>
    <row r="27" spans="1:14" x14ac:dyDescent="0.25">
      <c r="F27" t="s">
        <v>174</v>
      </c>
      <c r="G27">
        <v>240</v>
      </c>
    </row>
    <row r="31" spans="1:14" x14ac:dyDescent="0.25">
      <c r="B31">
        <f>SUM(B2:B30)</f>
        <v>46668</v>
      </c>
      <c r="D31">
        <f t="shared" ref="D31:M31" si="4">SUM(D2:D30)</f>
        <v>38000</v>
      </c>
      <c r="E31">
        <f t="shared" si="4"/>
        <v>2849</v>
      </c>
      <c r="G31">
        <f>SUM(G2:G30)-5000</f>
        <v>2975</v>
      </c>
      <c r="I31">
        <f>SUM(I2:I30)</f>
        <v>7471</v>
      </c>
      <c r="K31">
        <f t="shared" si="4"/>
        <v>0</v>
      </c>
      <c r="M31">
        <f t="shared" si="4"/>
        <v>11654</v>
      </c>
      <c r="N31" s="1">
        <f>SUM(B31:M31)</f>
        <v>109617</v>
      </c>
    </row>
    <row r="32" spans="1:14" x14ac:dyDescent="0.25">
      <c r="F32" t="s">
        <v>149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topLeftCell="F1" workbookViewId="0">
      <pane ySplit="1" topLeftCell="A19" activePane="bottomLeft" state="frozen"/>
      <selection pane="bottomLeft" activeCell="G36" sqref="G36"/>
    </sheetView>
  </sheetViews>
  <sheetFormatPr defaultRowHeight="15" x14ac:dyDescent="0.25"/>
  <cols>
    <col min="1" max="1" width="15.7109375" customWidth="1"/>
    <col min="3" max="3" width="16.7109375" customWidth="1"/>
    <col min="5" max="5" width="17.7109375" customWidth="1"/>
    <col min="6" max="6" width="35.28515625" customWidth="1"/>
    <col min="8" max="8" width="28.85546875" customWidth="1"/>
    <col min="10" max="10" width="15.7109375" customWidth="1"/>
    <col min="12" max="12" width="20" customWidth="1"/>
    <col min="13" max="13" width="10.42578125" customWidth="1"/>
    <col min="14" max="14" width="20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25">
      <c r="A2" t="s">
        <v>7</v>
      </c>
      <c r="B2">
        <v>23000</v>
      </c>
      <c r="C2" t="s">
        <v>8</v>
      </c>
      <c r="D2">
        <v>36500</v>
      </c>
      <c r="E2">
        <v>75</v>
      </c>
      <c r="F2" t="s">
        <v>16</v>
      </c>
      <c r="G2">
        <v>210</v>
      </c>
    </row>
    <row r="3" spans="1:16" ht="30" x14ac:dyDescent="0.25">
      <c r="A3" t="s">
        <v>9</v>
      </c>
      <c r="B3">
        <v>3000</v>
      </c>
      <c r="C3" s="2" t="s">
        <v>57</v>
      </c>
      <c r="D3">
        <v>1500</v>
      </c>
      <c r="E3">
        <f t="shared" ref="E3:E5" si="0">94+96</f>
        <v>190</v>
      </c>
      <c r="F3" t="s">
        <v>186</v>
      </c>
      <c r="G3">
        <v>60</v>
      </c>
      <c r="H3" t="s">
        <v>190</v>
      </c>
      <c r="I3">
        <v>1088</v>
      </c>
      <c r="L3" t="s">
        <v>17</v>
      </c>
      <c r="M3">
        <v>299</v>
      </c>
      <c r="O3" t="s">
        <v>14</v>
      </c>
      <c r="P3" t="s">
        <v>21</v>
      </c>
    </row>
    <row r="4" spans="1:16" x14ac:dyDescent="0.25">
      <c r="A4" t="s">
        <v>11</v>
      </c>
      <c r="B4">
        <v>5000</v>
      </c>
      <c r="E4">
        <f t="shared" si="0"/>
        <v>190</v>
      </c>
      <c r="F4" t="s">
        <v>188</v>
      </c>
      <c r="G4">
        <v>150</v>
      </c>
      <c r="L4" t="s">
        <v>18</v>
      </c>
      <c r="M4">
        <v>199</v>
      </c>
    </row>
    <row r="5" spans="1:16" x14ac:dyDescent="0.25">
      <c r="A5" t="s">
        <v>12</v>
      </c>
      <c r="B5">
        <v>2668</v>
      </c>
      <c r="E5">
        <f t="shared" si="0"/>
        <v>190</v>
      </c>
      <c r="F5" t="s">
        <v>189</v>
      </c>
      <c r="G5">
        <v>155</v>
      </c>
      <c r="O5" t="s">
        <v>191</v>
      </c>
    </row>
    <row r="6" spans="1:16" x14ac:dyDescent="0.25">
      <c r="A6" t="s">
        <v>14</v>
      </c>
      <c r="B6">
        <v>2000</v>
      </c>
      <c r="F6" t="s">
        <v>193</v>
      </c>
      <c r="G6">
        <v>780</v>
      </c>
      <c r="L6" t="s">
        <v>19</v>
      </c>
    </row>
    <row r="7" spans="1:16" x14ac:dyDescent="0.25">
      <c r="A7" t="s">
        <v>74</v>
      </c>
      <c r="B7">
        <v>1000</v>
      </c>
      <c r="F7" t="s">
        <v>194</v>
      </c>
      <c r="G7">
        <v>750</v>
      </c>
      <c r="H7" t="s">
        <v>192</v>
      </c>
      <c r="I7">
        <v>3000</v>
      </c>
    </row>
    <row r="8" spans="1:16" x14ac:dyDescent="0.25">
      <c r="A8" t="s">
        <v>185</v>
      </c>
      <c r="B8">
        <v>40000</v>
      </c>
      <c r="F8" t="s">
        <v>206</v>
      </c>
      <c r="G8">
        <v>50</v>
      </c>
      <c r="O8" t="s">
        <v>23</v>
      </c>
      <c r="P8" t="s">
        <v>24</v>
      </c>
    </row>
    <row r="9" spans="1:16" x14ac:dyDescent="0.25">
      <c r="F9" t="s">
        <v>40</v>
      </c>
      <c r="G9">
        <v>20</v>
      </c>
      <c r="J9" t="s">
        <v>196</v>
      </c>
      <c r="K9">
        <v>500</v>
      </c>
      <c r="L9" t="s">
        <v>20</v>
      </c>
      <c r="M9">
        <v>200</v>
      </c>
    </row>
    <row r="10" spans="1:16" x14ac:dyDescent="0.25">
      <c r="F10" t="s">
        <v>200</v>
      </c>
      <c r="G10">
        <v>50</v>
      </c>
      <c r="H10" t="s">
        <v>198</v>
      </c>
      <c r="I10">
        <v>3000</v>
      </c>
      <c r="J10" t="s">
        <v>197</v>
      </c>
      <c r="K10">
        <v>1000</v>
      </c>
    </row>
    <row r="11" spans="1:16" x14ac:dyDescent="0.25">
      <c r="E11">
        <f t="shared" ref="E11:E13" si="1">94+96</f>
        <v>190</v>
      </c>
      <c r="F11" t="s">
        <v>66</v>
      </c>
      <c r="G11">
        <v>90</v>
      </c>
      <c r="H11" t="s">
        <v>204</v>
      </c>
      <c r="I11">
        <v>1500</v>
      </c>
      <c r="L11" t="s">
        <v>199</v>
      </c>
      <c r="M11">
        <v>1500</v>
      </c>
    </row>
    <row r="12" spans="1:16" x14ac:dyDescent="0.25">
      <c r="E12">
        <f t="shared" si="1"/>
        <v>190</v>
      </c>
      <c r="F12" t="s">
        <v>195</v>
      </c>
      <c r="G12">
        <v>650</v>
      </c>
      <c r="L12" t="s">
        <v>187</v>
      </c>
      <c r="M12">
        <v>400</v>
      </c>
    </row>
    <row r="13" spans="1:16" x14ac:dyDescent="0.25">
      <c r="A13" t="s">
        <v>176</v>
      </c>
      <c r="E13">
        <f t="shared" si="1"/>
        <v>190</v>
      </c>
      <c r="F13" t="s">
        <v>205</v>
      </c>
      <c r="G13">
        <v>70</v>
      </c>
    </row>
    <row r="14" spans="1:16" x14ac:dyDescent="0.25">
      <c r="A14" t="s">
        <v>62</v>
      </c>
      <c r="F14" t="s">
        <v>202</v>
      </c>
      <c r="G14">
        <v>200</v>
      </c>
      <c r="H14" t="s">
        <v>201</v>
      </c>
      <c r="I14">
        <v>699</v>
      </c>
      <c r="M14">
        <v>23</v>
      </c>
    </row>
    <row r="15" spans="1:16" x14ac:dyDescent="0.25">
      <c r="A15" t="s">
        <v>219</v>
      </c>
      <c r="F15" t="s">
        <v>203</v>
      </c>
      <c r="G15">
        <v>700</v>
      </c>
      <c r="H15" t="s">
        <v>215</v>
      </c>
      <c r="I15">
        <v>650</v>
      </c>
      <c r="M15">
        <v>23</v>
      </c>
    </row>
    <row r="16" spans="1:16" x14ac:dyDescent="0.25">
      <c r="F16" t="s">
        <v>207</v>
      </c>
      <c r="G16">
        <v>350</v>
      </c>
      <c r="M16">
        <v>23</v>
      </c>
    </row>
    <row r="17" spans="2:14" x14ac:dyDescent="0.25">
      <c r="H17" t="s">
        <v>208</v>
      </c>
      <c r="I17">
        <v>111</v>
      </c>
      <c r="M17">
        <v>23</v>
      </c>
    </row>
    <row r="18" spans="2:14" x14ac:dyDescent="0.25">
      <c r="E18">
        <f t="shared" ref="E18:E20" si="2">94+96</f>
        <v>190</v>
      </c>
      <c r="F18" t="s">
        <v>36</v>
      </c>
      <c r="G18">
        <v>200</v>
      </c>
      <c r="H18" t="s">
        <v>209</v>
      </c>
      <c r="I18">
        <v>124</v>
      </c>
      <c r="M18">
        <v>23</v>
      </c>
    </row>
    <row r="19" spans="2:14" x14ac:dyDescent="0.25">
      <c r="E19">
        <f t="shared" si="2"/>
        <v>190</v>
      </c>
      <c r="F19" t="s">
        <v>211</v>
      </c>
      <c r="G19">
        <v>600</v>
      </c>
    </row>
    <row r="20" spans="2:14" x14ac:dyDescent="0.25">
      <c r="E20">
        <f t="shared" si="2"/>
        <v>190</v>
      </c>
      <c r="F20" t="s">
        <v>212</v>
      </c>
      <c r="G20">
        <v>185</v>
      </c>
      <c r="H20" t="s">
        <v>210</v>
      </c>
      <c r="I20">
        <v>599</v>
      </c>
    </row>
    <row r="21" spans="2:14" x14ac:dyDescent="0.25">
      <c r="E21">
        <v>233</v>
      </c>
      <c r="F21" t="s">
        <v>213</v>
      </c>
      <c r="G21">
        <v>50</v>
      </c>
      <c r="H21" t="s">
        <v>22</v>
      </c>
      <c r="I21">
        <v>618</v>
      </c>
    </row>
    <row r="22" spans="2:14" x14ac:dyDescent="0.25">
      <c r="F22" t="s">
        <v>214</v>
      </c>
      <c r="G22">
        <v>279</v>
      </c>
    </row>
    <row r="24" spans="2:14" x14ac:dyDescent="0.25">
      <c r="F24" t="s">
        <v>216</v>
      </c>
      <c r="G24">
        <v>459</v>
      </c>
    </row>
    <row r="25" spans="2:14" x14ac:dyDescent="0.25">
      <c r="F25" t="s">
        <v>25</v>
      </c>
      <c r="G25">
        <v>80</v>
      </c>
    </row>
    <row r="26" spans="2:14" x14ac:dyDescent="0.25">
      <c r="E26">
        <f t="shared" ref="E26:E28" si="3">94+96</f>
        <v>190</v>
      </c>
      <c r="F26" t="s">
        <v>217</v>
      </c>
      <c r="G26">
        <v>190</v>
      </c>
    </row>
    <row r="27" spans="2:14" x14ac:dyDescent="0.25">
      <c r="E27">
        <f t="shared" si="3"/>
        <v>190</v>
      </c>
      <c r="F27" t="s">
        <v>218</v>
      </c>
      <c r="G27">
        <v>90</v>
      </c>
    </row>
    <row r="28" spans="2:14" x14ac:dyDescent="0.25">
      <c r="E28">
        <f t="shared" si="3"/>
        <v>190</v>
      </c>
      <c r="F28" t="s">
        <v>221</v>
      </c>
      <c r="G28">
        <v>300</v>
      </c>
      <c r="H28" t="s">
        <v>220</v>
      </c>
      <c r="I28">
        <v>1158</v>
      </c>
    </row>
    <row r="29" spans="2:14" x14ac:dyDescent="0.25">
      <c r="E29">
        <v>190</v>
      </c>
      <c r="F29" t="s">
        <v>36</v>
      </c>
      <c r="G29">
        <v>200</v>
      </c>
    </row>
    <row r="32" spans="2:14" x14ac:dyDescent="0.25">
      <c r="B32">
        <f>SUM(B2:B31)</f>
        <v>76668</v>
      </c>
      <c r="D32">
        <f t="shared" ref="D32:M32" si="4">SUM(D2:D31)</f>
        <v>38000</v>
      </c>
      <c r="E32">
        <f t="shared" si="4"/>
        <v>2778</v>
      </c>
      <c r="G32">
        <f>SUM(G2:G31)-5000</f>
        <v>1918</v>
      </c>
      <c r="I32">
        <f t="shared" si="4"/>
        <v>12547</v>
      </c>
      <c r="K32">
        <f t="shared" si="4"/>
        <v>1500</v>
      </c>
      <c r="M32">
        <f t="shared" si="4"/>
        <v>2713</v>
      </c>
      <c r="N32" s="1">
        <f>SUM(B32:M32)</f>
        <v>136124</v>
      </c>
    </row>
    <row r="33" spans="6:14" x14ac:dyDescent="0.25">
      <c r="F33" t="s">
        <v>170</v>
      </c>
      <c r="N33" s="1">
        <f>SUM(B32:M32)-40000</f>
        <v>96124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topLeftCell="F1" zoomScale="115" zoomScaleNormal="115" workbookViewId="0">
      <pane ySplit="1" topLeftCell="A2" activePane="bottomLeft" state="frozen"/>
      <selection pane="bottomLeft" activeCell="Q16" sqref="Q16"/>
    </sheetView>
  </sheetViews>
  <sheetFormatPr defaultRowHeight="15" x14ac:dyDescent="0.25"/>
  <cols>
    <col min="1" max="1" width="13.85546875" customWidth="1"/>
    <col min="3" max="3" width="15.140625" customWidth="1"/>
    <col min="5" max="5" width="18" customWidth="1"/>
    <col min="6" max="6" width="27.42578125" customWidth="1"/>
    <col min="8" max="8" width="19.7109375" customWidth="1"/>
    <col min="12" max="12" width="18" customWidth="1"/>
    <col min="14" max="14" width="14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23000</v>
      </c>
      <c r="C2" t="s">
        <v>8</v>
      </c>
      <c r="D2">
        <v>36500</v>
      </c>
      <c r="F2" t="s">
        <v>16</v>
      </c>
      <c r="G2">
        <v>210</v>
      </c>
    </row>
    <row r="3" spans="1:15" ht="30" x14ac:dyDescent="0.25">
      <c r="A3" t="s">
        <v>9</v>
      </c>
      <c r="B3">
        <v>3000</v>
      </c>
      <c r="C3" s="2" t="s">
        <v>57</v>
      </c>
      <c r="D3">
        <v>1500</v>
      </c>
      <c r="E3">
        <f t="shared" ref="E3:E4" si="0">94+96</f>
        <v>190</v>
      </c>
      <c r="F3" t="s">
        <v>222</v>
      </c>
      <c r="G3">
        <v>35</v>
      </c>
      <c r="L3" t="s">
        <v>17</v>
      </c>
      <c r="M3">
        <v>299</v>
      </c>
      <c r="N3" t="s">
        <v>14</v>
      </c>
      <c r="O3" t="s">
        <v>21</v>
      </c>
    </row>
    <row r="4" spans="1:15" x14ac:dyDescent="0.25">
      <c r="A4" t="s">
        <v>11</v>
      </c>
      <c r="B4">
        <v>5000</v>
      </c>
      <c r="C4" t="s">
        <v>225</v>
      </c>
      <c r="D4">
        <v>300</v>
      </c>
      <c r="E4">
        <f t="shared" si="0"/>
        <v>190</v>
      </c>
      <c r="F4" t="s">
        <v>223</v>
      </c>
      <c r="G4">
        <v>200</v>
      </c>
      <c r="L4" t="s">
        <v>18</v>
      </c>
      <c r="M4">
        <v>199</v>
      </c>
    </row>
    <row r="5" spans="1:15" x14ac:dyDescent="0.25">
      <c r="A5" t="s">
        <v>12</v>
      </c>
      <c r="B5">
        <v>2668</v>
      </c>
      <c r="E5">
        <f>94+23+198+80</f>
        <v>395</v>
      </c>
      <c r="F5" t="s">
        <v>224</v>
      </c>
      <c r="G5">
        <v>50</v>
      </c>
      <c r="N5" t="s">
        <v>191</v>
      </c>
    </row>
    <row r="6" spans="1:15" x14ac:dyDescent="0.25">
      <c r="A6" t="s">
        <v>14</v>
      </c>
      <c r="B6">
        <v>2000</v>
      </c>
      <c r="E6">
        <f>94+96</f>
        <v>190</v>
      </c>
      <c r="F6" t="s">
        <v>231</v>
      </c>
      <c r="G6">
        <v>1080</v>
      </c>
      <c r="L6" t="s">
        <v>19</v>
      </c>
      <c r="M6">
        <v>1274</v>
      </c>
    </row>
    <row r="7" spans="1:15" x14ac:dyDescent="0.25">
      <c r="A7" t="s">
        <v>74</v>
      </c>
      <c r="B7">
        <v>1000</v>
      </c>
      <c r="E7">
        <v>190</v>
      </c>
      <c r="F7" t="s">
        <v>227</v>
      </c>
      <c r="G7">
        <v>270</v>
      </c>
    </row>
    <row r="8" spans="1:15" x14ac:dyDescent="0.25">
      <c r="H8" t="s">
        <v>226</v>
      </c>
      <c r="I8">
        <v>1100</v>
      </c>
      <c r="N8" t="s">
        <v>23</v>
      </c>
      <c r="O8" t="s">
        <v>24</v>
      </c>
    </row>
    <row r="9" spans="1:15" x14ac:dyDescent="0.25">
      <c r="L9" t="s">
        <v>20</v>
      </c>
      <c r="M9">
        <v>200</v>
      </c>
    </row>
    <row r="10" spans="1:15" x14ac:dyDescent="0.25">
      <c r="E10">
        <f t="shared" ref="E10:E14" si="1">94+96</f>
        <v>190</v>
      </c>
      <c r="M10">
        <v>23</v>
      </c>
    </row>
    <row r="11" spans="1:15" x14ac:dyDescent="0.25">
      <c r="E11">
        <f t="shared" si="1"/>
        <v>190</v>
      </c>
      <c r="F11" t="s">
        <v>224</v>
      </c>
      <c r="G11">
        <v>40</v>
      </c>
      <c r="H11" t="s">
        <v>229</v>
      </c>
      <c r="I11">
        <v>195</v>
      </c>
    </row>
    <row r="12" spans="1:15" x14ac:dyDescent="0.25">
      <c r="E12">
        <f t="shared" si="1"/>
        <v>190</v>
      </c>
    </row>
    <row r="13" spans="1:15" x14ac:dyDescent="0.25">
      <c r="A13" t="s">
        <v>236</v>
      </c>
      <c r="E13">
        <f t="shared" si="1"/>
        <v>190</v>
      </c>
      <c r="F13" t="s">
        <v>232</v>
      </c>
      <c r="G13">
        <v>300</v>
      </c>
      <c r="H13" t="s">
        <v>230</v>
      </c>
      <c r="I13">
        <f>2000+140+158</f>
        <v>2298</v>
      </c>
    </row>
    <row r="14" spans="1:15" x14ac:dyDescent="0.25">
      <c r="A14" t="s">
        <v>83</v>
      </c>
      <c r="E14">
        <f t="shared" si="1"/>
        <v>190</v>
      </c>
    </row>
    <row r="15" spans="1:15" x14ac:dyDescent="0.25">
      <c r="A15" t="s">
        <v>219</v>
      </c>
    </row>
    <row r="17" spans="2:14" x14ac:dyDescent="0.25">
      <c r="F17" t="s">
        <v>233</v>
      </c>
      <c r="G17">
        <v>350</v>
      </c>
    </row>
    <row r="18" spans="2:14" x14ac:dyDescent="0.25">
      <c r="E18">
        <f t="shared" ref="E18:E20" si="2">94+96</f>
        <v>190</v>
      </c>
      <c r="F18" t="s">
        <v>234</v>
      </c>
      <c r="G18">
        <v>970</v>
      </c>
    </row>
    <row r="19" spans="2:14" x14ac:dyDescent="0.25">
      <c r="E19">
        <f>104+96</f>
        <v>200</v>
      </c>
    </row>
    <row r="20" spans="2:14" x14ac:dyDescent="0.25">
      <c r="E20">
        <f t="shared" si="2"/>
        <v>190</v>
      </c>
      <c r="F20" t="s">
        <v>173</v>
      </c>
      <c r="G20">
        <v>100</v>
      </c>
    </row>
    <row r="22" spans="2:14" x14ac:dyDescent="0.25">
      <c r="L22" t="s">
        <v>242</v>
      </c>
      <c r="M22">
        <v>600</v>
      </c>
    </row>
    <row r="23" spans="2:14" x14ac:dyDescent="0.25">
      <c r="F23" t="s">
        <v>235</v>
      </c>
      <c r="G23">
        <v>1000</v>
      </c>
    </row>
    <row r="24" spans="2:14" x14ac:dyDescent="0.25">
      <c r="F24" t="s">
        <v>241</v>
      </c>
      <c r="G24">
        <v>300</v>
      </c>
    </row>
    <row r="25" spans="2:14" x14ac:dyDescent="0.25">
      <c r="E25">
        <f>102+23+95</f>
        <v>220</v>
      </c>
    </row>
    <row r="26" spans="2:14" x14ac:dyDescent="0.25">
      <c r="E26">
        <f t="shared" ref="E26:E28" si="3">94+96</f>
        <v>190</v>
      </c>
      <c r="F26" t="s">
        <v>243</v>
      </c>
      <c r="G26">
        <f>60+20+85+70</f>
        <v>235</v>
      </c>
    </row>
    <row r="27" spans="2:14" x14ac:dyDescent="0.25">
      <c r="E27">
        <f t="shared" si="3"/>
        <v>190</v>
      </c>
    </row>
    <row r="28" spans="2:14" x14ac:dyDescent="0.25">
      <c r="E28">
        <f t="shared" si="3"/>
        <v>190</v>
      </c>
      <c r="F28" t="s">
        <v>244</v>
      </c>
      <c r="G28">
        <v>70</v>
      </c>
    </row>
    <row r="29" spans="2:14" x14ac:dyDescent="0.25">
      <c r="H29" t="s">
        <v>245</v>
      </c>
      <c r="I29">
        <v>3446</v>
      </c>
    </row>
    <row r="30" spans="2:14" x14ac:dyDescent="0.25">
      <c r="E30">
        <v>190</v>
      </c>
    </row>
    <row r="31" spans="2:14" x14ac:dyDescent="0.25">
      <c r="B31">
        <f>SUM(B2:B30)</f>
        <v>36668</v>
      </c>
      <c r="D31">
        <f t="shared" ref="D31:M31" si="4">SUM(D2:D30)</f>
        <v>38300</v>
      </c>
      <c r="E31">
        <f t="shared" si="4"/>
        <v>3665</v>
      </c>
      <c r="G31">
        <f>SUM(G2:G30)-5000</f>
        <v>210</v>
      </c>
      <c r="I31">
        <f t="shared" si="4"/>
        <v>7039</v>
      </c>
      <c r="K31">
        <f t="shared" si="4"/>
        <v>0</v>
      </c>
      <c r="M31">
        <f t="shared" si="4"/>
        <v>2595</v>
      </c>
      <c r="N31" s="1">
        <f>SUM(B31:M31)</f>
        <v>88477</v>
      </c>
    </row>
    <row r="32" spans="2:14" x14ac:dyDescent="0.25">
      <c r="F32" t="s">
        <v>228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41CC-7E71-40E3-9C9A-C7E27BD37284}">
  <dimension ref="A1:O33"/>
  <sheetViews>
    <sheetView workbookViewId="0">
      <pane ySplit="1" topLeftCell="A2" activePane="bottomLeft" state="frozen"/>
      <selection activeCell="B1" sqref="B1"/>
      <selection pane="bottomLeft" activeCell="B13" sqref="B13"/>
    </sheetView>
  </sheetViews>
  <sheetFormatPr defaultRowHeight="15" x14ac:dyDescent="0.25"/>
  <cols>
    <col min="1" max="1" width="14.42578125" customWidth="1"/>
    <col min="3" max="3" width="21" customWidth="1"/>
    <col min="5" max="5" width="16.5703125" customWidth="1"/>
    <col min="6" max="6" width="26.7109375" customWidth="1"/>
    <col min="8" max="8" width="20" customWidth="1"/>
    <col min="10" max="10" width="18.5703125" customWidth="1"/>
    <col min="12" max="12" width="21.7109375" customWidth="1"/>
    <col min="14" max="14" width="12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25500</v>
      </c>
      <c r="C2" t="s">
        <v>8</v>
      </c>
      <c r="D2">
        <v>36500</v>
      </c>
      <c r="E2">
        <v>45</v>
      </c>
      <c r="F2" t="s">
        <v>16</v>
      </c>
      <c r="G2">
        <v>210</v>
      </c>
    </row>
    <row r="3" spans="1:15" x14ac:dyDescent="0.25">
      <c r="A3" t="s">
        <v>9</v>
      </c>
      <c r="B3">
        <v>3000</v>
      </c>
      <c r="C3" s="2" t="s">
        <v>57</v>
      </c>
      <c r="D3">
        <v>1900</v>
      </c>
      <c r="E3">
        <f t="shared" ref="E3:E4" si="0">94+96</f>
        <v>190</v>
      </c>
      <c r="F3" t="s">
        <v>36</v>
      </c>
      <c r="G3">
        <v>200</v>
      </c>
    </row>
    <row r="4" spans="1:15" x14ac:dyDescent="0.25">
      <c r="A4" t="s">
        <v>11</v>
      </c>
      <c r="B4">
        <v>5000</v>
      </c>
      <c r="C4" t="s">
        <v>238</v>
      </c>
      <c r="D4">
        <v>1000</v>
      </c>
      <c r="E4">
        <f t="shared" si="0"/>
        <v>190</v>
      </c>
      <c r="F4" t="s">
        <v>251</v>
      </c>
      <c r="G4">
        <v>179</v>
      </c>
      <c r="L4" t="s">
        <v>17</v>
      </c>
      <c r="M4">
        <v>799</v>
      </c>
      <c r="N4" t="s">
        <v>14</v>
      </c>
      <c r="O4" t="s">
        <v>239</v>
      </c>
    </row>
    <row r="5" spans="1:15" x14ac:dyDescent="0.25">
      <c r="A5" t="s">
        <v>12</v>
      </c>
      <c r="B5">
        <v>2668</v>
      </c>
      <c r="F5" t="s">
        <v>246</v>
      </c>
      <c r="G5">
        <v>220</v>
      </c>
      <c r="L5" t="s">
        <v>18</v>
      </c>
      <c r="M5">
        <v>359</v>
      </c>
    </row>
    <row r="6" spans="1:15" x14ac:dyDescent="0.25">
      <c r="A6" t="s">
        <v>14</v>
      </c>
      <c r="B6">
        <v>2000</v>
      </c>
      <c r="F6" t="s">
        <v>249</v>
      </c>
      <c r="G6">
        <v>130</v>
      </c>
      <c r="N6" t="s">
        <v>191</v>
      </c>
    </row>
    <row r="7" spans="1:15" x14ac:dyDescent="0.25">
      <c r="A7" t="s">
        <v>74</v>
      </c>
      <c r="B7">
        <v>1000</v>
      </c>
      <c r="E7">
        <f t="shared" ref="E7:E9" si="1">94+96</f>
        <v>190</v>
      </c>
      <c r="F7" t="s">
        <v>248</v>
      </c>
      <c r="G7">
        <v>100</v>
      </c>
      <c r="L7" t="s">
        <v>19</v>
      </c>
      <c r="M7">
        <v>1274</v>
      </c>
    </row>
    <row r="8" spans="1:15" x14ac:dyDescent="0.25">
      <c r="E8">
        <f t="shared" si="1"/>
        <v>190</v>
      </c>
      <c r="F8" t="s">
        <v>224</v>
      </c>
      <c r="G8">
        <v>30</v>
      </c>
    </row>
    <row r="9" spans="1:15" x14ac:dyDescent="0.25">
      <c r="E9">
        <f t="shared" si="1"/>
        <v>190</v>
      </c>
      <c r="H9" t="s">
        <v>247</v>
      </c>
      <c r="I9">
        <v>3500</v>
      </c>
      <c r="N9" t="s">
        <v>23</v>
      </c>
      <c r="O9" t="s">
        <v>24</v>
      </c>
    </row>
    <row r="10" spans="1:15" x14ac:dyDescent="0.25">
      <c r="C10" t="s">
        <v>240</v>
      </c>
      <c r="F10" t="s">
        <v>250</v>
      </c>
      <c r="G10">
        <v>449</v>
      </c>
      <c r="L10" t="s">
        <v>20</v>
      </c>
      <c r="M10">
        <v>200</v>
      </c>
    </row>
    <row r="11" spans="1:15" x14ac:dyDescent="0.25">
      <c r="E11">
        <f t="shared" ref="E11:E13" si="2">94+96</f>
        <v>190</v>
      </c>
      <c r="F11" t="s">
        <v>66</v>
      </c>
      <c r="G11">
        <v>150</v>
      </c>
      <c r="M11">
        <v>23</v>
      </c>
    </row>
    <row r="12" spans="1:15" x14ac:dyDescent="0.25">
      <c r="E12">
        <f t="shared" si="2"/>
        <v>190</v>
      </c>
      <c r="F12" t="s">
        <v>224</v>
      </c>
      <c r="G12">
        <v>30</v>
      </c>
    </row>
    <row r="13" spans="1:15" x14ac:dyDescent="0.25">
      <c r="A13" t="s">
        <v>266</v>
      </c>
      <c r="E13">
        <f t="shared" si="2"/>
        <v>190</v>
      </c>
      <c r="F13" t="s">
        <v>36</v>
      </c>
      <c r="G13">
        <v>130</v>
      </c>
      <c r="H13" t="s">
        <v>256</v>
      </c>
      <c r="I13">
        <v>283</v>
      </c>
    </row>
    <row r="14" spans="1:15" x14ac:dyDescent="0.25">
      <c r="A14" t="s">
        <v>237</v>
      </c>
      <c r="E14">
        <f>45</f>
        <v>45</v>
      </c>
      <c r="F14" t="s">
        <v>252</v>
      </c>
      <c r="G14">
        <v>188</v>
      </c>
    </row>
    <row r="15" spans="1:15" x14ac:dyDescent="0.25">
      <c r="A15" t="s">
        <v>219</v>
      </c>
      <c r="F15" t="s">
        <v>253</v>
      </c>
      <c r="G15">
        <v>299</v>
      </c>
      <c r="L15" t="s">
        <v>270</v>
      </c>
      <c r="M15">
        <v>200</v>
      </c>
    </row>
    <row r="16" spans="1:15" x14ac:dyDescent="0.25">
      <c r="F16" t="s">
        <v>254</v>
      </c>
      <c r="G16">
        <v>155</v>
      </c>
    </row>
    <row r="17" spans="1:14" x14ac:dyDescent="0.25">
      <c r="F17" t="s">
        <v>257</v>
      </c>
      <c r="G17">
        <v>180</v>
      </c>
      <c r="L17" t="s">
        <v>271</v>
      </c>
      <c r="M17">
        <v>2000</v>
      </c>
    </row>
    <row r="18" spans="1:14" x14ac:dyDescent="0.25">
      <c r="A18" t="s">
        <v>255</v>
      </c>
      <c r="E18">
        <f t="shared" ref="E18:E21" si="3">94+96</f>
        <v>190</v>
      </c>
      <c r="F18" t="s">
        <v>258</v>
      </c>
      <c r="G18">
        <v>340</v>
      </c>
      <c r="H18" t="s">
        <v>267</v>
      </c>
      <c r="I18">
        <v>349</v>
      </c>
    </row>
    <row r="19" spans="1:14" x14ac:dyDescent="0.25">
      <c r="E19">
        <f t="shared" si="3"/>
        <v>190</v>
      </c>
      <c r="F19" t="s">
        <v>224</v>
      </c>
      <c r="G19">
        <v>40</v>
      </c>
    </row>
    <row r="20" spans="1:14" x14ac:dyDescent="0.25">
      <c r="E20">
        <f t="shared" si="3"/>
        <v>190</v>
      </c>
      <c r="F20" t="s">
        <v>259</v>
      </c>
      <c r="G20">
        <v>140</v>
      </c>
      <c r="L20" t="s">
        <v>272</v>
      </c>
      <c r="M20">
        <v>200</v>
      </c>
    </row>
    <row r="21" spans="1:14" x14ac:dyDescent="0.25">
      <c r="E21">
        <f t="shared" si="3"/>
        <v>190</v>
      </c>
      <c r="F21" t="s">
        <v>260</v>
      </c>
      <c r="G21">
        <f>50+60+150</f>
        <v>260</v>
      </c>
    </row>
    <row r="22" spans="1:14" x14ac:dyDescent="0.25">
      <c r="F22" t="s">
        <v>262</v>
      </c>
      <c r="G22">
        <v>20</v>
      </c>
    </row>
    <row r="23" spans="1:14" x14ac:dyDescent="0.25">
      <c r="F23" t="s">
        <v>261</v>
      </c>
      <c r="G23">
        <v>155</v>
      </c>
    </row>
    <row r="24" spans="1:14" x14ac:dyDescent="0.25">
      <c r="F24" t="s">
        <v>269</v>
      </c>
      <c r="G24">
        <f>120+75</f>
        <v>195</v>
      </c>
    </row>
    <row r="25" spans="1:14" x14ac:dyDescent="0.25">
      <c r="E25">
        <f t="shared" ref="E25:E26" si="4">94+96</f>
        <v>190</v>
      </c>
      <c r="F25" t="s">
        <v>268</v>
      </c>
      <c r="G25">
        <v>97</v>
      </c>
    </row>
    <row r="26" spans="1:14" x14ac:dyDescent="0.25">
      <c r="E26">
        <f t="shared" si="4"/>
        <v>190</v>
      </c>
    </row>
    <row r="27" spans="1:14" x14ac:dyDescent="0.25">
      <c r="E27">
        <v>45</v>
      </c>
      <c r="F27" t="s">
        <v>273</v>
      </c>
      <c r="G27">
        <v>200</v>
      </c>
    </row>
    <row r="28" spans="1:14" x14ac:dyDescent="0.25">
      <c r="E28">
        <v>45</v>
      </c>
      <c r="F28" t="s">
        <v>173</v>
      </c>
      <c r="G28">
        <v>130</v>
      </c>
    </row>
    <row r="30" spans="1:14" x14ac:dyDescent="0.25">
      <c r="F30" t="s">
        <v>274</v>
      </c>
      <c r="G30">
        <v>1244</v>
      </c>
    </row>
    <row r="32" spans="1:14" x14ac:dyDescent="0.25">
      <c r="B32">
        <f>SUM(B2:B31)</f>
        <v>39168</v>
      </c>
      <c r="D32">
        <f t="shared" ref="D32:M32" si="5">SUM(D2:D31)</f>
        <v>39400</v>
      </c>
      <c r="E32">
        <f>SUM(E2:E31)</f>
        <v>2840</v>
      </c>
      <c r="G32">
        <f>SUM(G2:G31)-5000</f>
        <v>471</v>
      </c>
      <c r="I32">
        <f t="shared" si="5"/>
        <v>4132</v>
      </c>
      <c r="K32">
        <f t="shared" si="5"/>
        <v>0</v>
      </c>
      <c r="L32">
        <f t="shared" si="5"/>
        <v>0</v>
      </c>
      <c r="M32">
        <f t="shared" si="5"/>
        <v>5055</v>
      </c>
      <c r="N32" s="1">
        <f>SUM(B32:M32)</f>
        <v>91066</v>
      </c>
    </row>
    <row r="33" spans="6:6" x14ac:dyDescent="0.25">
      <c r="F33" t="s">
        <v>228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8393-7DE0-4542-B23A-D4D55690EB02}">
  <dimension ref="A1:O33"/>
  <sheetViews>
    <sheetView topLeftCell="D1" workbookViewId="0">
      <pane ySplit="1" topLeftCell="A2" activePane="bottomLeft" state="frozen"/>
      <selection pane="bottomLeft" activeCell="I27" sqref="I27:I30"/>
    </sheetView>
  </sheetViews>
  <sheetFormatPr defaultRowHeight="15" x14ac:dyDescent="0.25"/>
  <cols>
    <col min="1" max="1" width="16.5703125" customWidth="1"/>
    <col min="3" max="4" width="16.28515625" customWidth="1"/>
    <col min="5" max="5" width="18.7109375" customWidth="1"/>
    <col min="6" max="6" width="36.140625" customWidth="1"/>
    <col min="8" max="9" width="16.140625" customWidth="1"/>
    <col min="12" max="12" width="17.140625" customWidth="1"/>
    <col min="14" max="14" width="13.855468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25500</v>
      </c>
      <c r="C2" t="s">
        <v>8</v>
      </c>
      <c r="D2">
        <v>36500</v>
      </c>
      <c r="E2">
        <f t="shared" ref="E2:E7" si="0">94+96</f>
        <v>190</v>
      </c>
      <c r="F2" t="s">
        <v>16</v>
      </c>
      <c r="G2">
        <v>210</v>
      </c>
    </row>
    <row r="3" spans="1:15" ht="30" x14ac:dyDescent="0.25">
      <c r="A3" t="s">
        <v>9</v>
      </c>
      <c r="B3">
        <v>3000</v>
      </c>
      <c r="C3" s="2" t="s">
        <v>57</v>
      </c>
      <c r="D3">
        <v>1700</v>
      </c>
      <c r="E3">
        <v>103</v>
      </c>
      <c r="F3" t="s">
        <v>275</v>
      </c>
      <c r="G3">
        <v>144</v>
      </c>
      <c r="N3" t="s">
        <v>14</v>
      </c>
      <c r="O3" t="s">
        <v>239</v>
      </c>
    </row>
    <row r="4" spans="1:15" x14ac:dyDescent="0.25">
      <c r="A4" t="s">
        <v>11</v>
      </c>
      <c r="B4">
        <v>5000</v>
      </c>
      <c r="C4" t="s">
        <v>278</v>
      </c>
      <c r="D4">
        <v>2200</v>
      </c>
      <c r="F4" t="s">
        <v>276</v>
      </c>
      <c r="G4">
        <v>126</v>
      </c>
      <c r="H4" t="s">
        <v>277</v>
      </c>
      <c r="I4">
        <v>490</v>
      </c>
      <c r="L4" t="s">
        <v>18</v>
      </c>
      <c r="M4">
        <v>199</v>
      </c>
    </row>
    <row r="5" spans="1:15" x14ac:dyDescent="0.25">
      <c r="A5" t="s">
        <v>12</v>
      </c>
      <c r="B5">
        <v>2668</v>
      </c>
      <c r="H5" t="s">
        <v>279</v>
      </c>
      <c r="I5">
        <v>699</v>
      </c>
      <c r="N5" t="s">
        <v>191</v>
      </c>
    </row>
    <row r="6" spans="1:15" x14ac:dyDescent="0.25">
      <c r="A6" t="s">
        <v>14</v>
      </c>
      <c r="B6">
        <v>3000</v>
      </c>
      <c r="E6">
        <f>103+194</f>
        <v>297</v>
      </c>
      <c r="F6" t="s">
        <v>280</v>
      </c>
      <c r="G6">
        <v>1100</v>
      </c>
      <c r="L6" t="s">
        <v>19</v>
      </c>
      <c r="M6">
        <v>1274</v>
      </c>
    </row>
    <row r="7" spans="1:15" x14ac:dyDescent="0.25">
      <c r="A7" t="s">
        <v>74</v>
      </c>
      <c r="B7">
        <v>1000</v>
      </c>
      <c r="E7">
        <f t="shared" si="0"/>
        <v>190</v>
      </c>
      <c r="F7" t="s">
        <v>281</v>
      </c>
      <c r="G7">
        <v>200</v>
      </c>
      <c r="L7" t="s">
        <v>95</v>
      </c>
      <c r="M7">
        <v>1822</v>
      </c>
    </row>
    <row r="8" spans="1:15" x14ac:dyDescent="0.25">
      <c r="E8">
        <v>164</v>
      </c>
      <c r="F8" t="s">
        <v>284</v>
      </c>
      <c r="G8">
        <f>40+70</f>
        <v>110</v>
      </c>
      <c r="N8" t="s">
        <v>23</v>
      </c>
      <c r="O8" t="s">
        <v>24</v>
      </c>
    </row>
    <row r="9" spans="1:15" x14ac:dyDescent="0.25">
      <c r="F9" t="s">
        <v>282</v>
      </c>
      <c r="G9">
        <v>420</v>
      </c>
      <c r="L9" t="s">
        <v>20</v>
      </c>
      <c r="M9">
        <v>200</v>
      </c>
    </row>
    <row r="10" spans="1:15" x14ac:dyDescent="0.25">
      <c r="F10" t="s">
        <v>283</v>
      </c>
      <c r="G10">
        <v>241</v>
      </c>
    </row>
    <row r="12" spans="1:15" x14ac:dyDescent="0.25">
      <c r="E12">
        <f t="shared" ref="E12:E14" si="1">94+96</f>
        <v>190</v>
      </c>
      <c r="F12" t="s">
        <v>285</v>
      </c>
      <c r="G12">
        <v>1100</v>
      </c>
      <c r="N12" t="s">
        <v>287</v>
      </c>
      <c r="O12" t="s">
        <v>288</v>
      </c>
    </row>
    <row r="13" spans="1:15" x14ac:dyDescent="0.25">
      <c r="A13" t="s">
        <v>302</v>
      </c>
      <c r="E13">
        <f t="shared" si="1"/>
        <v>190</v>
      </c>
      <c r="F13" t="s">
        <v>286</v>
      </c>
      <c r="G13">
        <v>180</v>
      </c>
    </row>
    <row r="14" spans="1:15" x14ac:dyDescent="0.25">
      <c r="A14" t="s">
        <v>265</v>
      </c>
      <c r="E14">
        <f t="shared" si="1"/>
        <v>190</v>
      </c>
      <c r="F14" t="s">
        <v>289</v>
      </c>
      <c r="G14">
        <v>765</v>
      </c>
    </row>
    <row r="15" spans="1:15" x14ac:dyDescent="0.25">
      <c r="A15" t="s">
        <v>219</v>
      </c>
    </row>
    <row r="17" spans="1:14" x14ac:dyDescent="0.25">
      <c r="E17">
        <f t="shared" ref="E17:E20" si="2">94+96</f>
        <v>190</v>
      </c>
      <c r="F17" t="s">
        <v>290</v>
      </c>
      <c r="G17">
        <v>60</v>
      </c>
    </row>
    <row r="18" spans="1:14" x14ac:dyDescent="0.25">
      <c r="A18" t="s">
        <v>263</v>
      </c>
      <c r="E18">
        <f t="shared" si="2"/>
        <v>190</v>
      </c>
      <c r="F18" t="s">
        <v>291</v>
      </c>
      <c r="G18">
        <v>550</v>
      </c>
    </row>
    <row r="19" spans="1:14" x14ac:dyDescent="0.25">
      <c r="A19" t="s">
        <v>264</v>
      </c>
      <c r="E19">
        <f t="shared" si="2"/>
        <v>190</v>
      </c>
      <c r="H19" t="s">
        <v>292</v>
      </c>
      <c r="I19">
        <v>250</v>
      </c>
    </row>
    <row r="20" spans="1:14" x14ac:dyDescent="0.25">
      <c r="E20">
        <f t="shared" si="2"/>
        <v>190</v>
      </c>
      <c r="H20" t="s">
        <v>293</v>
      </c>
      <c r="I20">
        <v>100</v>
      </c>
    </row>
    <row r="22" spans="1:14" x14ac:dyDescent="0.25">
      <c r="E22">
        <f t="shared" ref="E22:E25" si="3">94+96</f>
        <v>190</v>
      </c>
      <c r="F22" t="s">
        <v>294</v>
      </c>
      <c r="G22">
        <v>235</v>
      </c>
    </row>
    <row r="23" spans="1:14" x14ac:dyDescent="0.25">
      <c r="E23">
        <f t="shared" si="3"/>
        <v>190</v>
      </c>
      <c r="F23" t="s">
        <v>224</v>
      </c>
      <c r="G23">
        <v>60</v>
      </c>
    </row>
    <row r="24" spans="1:14" ht="45" x14ac:dyDescent="0.25">
      <c r="E24">
        <f t="shared" si="3"/>
        <v>190</v>
      </c>
      <c r="F24" t="s">
        <v>295</v>
      </c>
      <c r="G24">
        <v>200</v>
      </c>
      <c r="J24" s="2" t="s">
        <v>272</v>
      </c>
      <c r="K24">
        <v>300</v>
      </c>
    </row>
    <row r="25" spans="1:14" x14ac:dyDescent="0.25">
      <c r="E25">
        <f t="shared" si="3"/>
        <v>190</v>
      </c>
      <c r="F25" t="s">
        <v>108</v>
      </c>
      <c r="G25">
        <v>80</v>
      </c>
    </row>
    <row r="26" spans="1:14" x14ac:dyDescent="0.25">
      <c r="F26" t="s">
        <v>296</v>
      </c>
      <c r="G26">
        <v>30</v>
      </c>
    </row>
    <row r="27" spans="1:14" x14ac:dyDescent="0.25">
      <c r="H27" t="s">
        <v>297</v>
      </c>
      <c r="I27">
        <v>800</v>
      </c>
    </row>
    <row r="28" spans="1:14" x14ac:dyDescent="0.25">
      <c r="H28" t="s">
        <v>300</v>
      </c>
      <c r="I28">
        <v>255</v>
      </c>
    </row>
    <row r="29" spans="1:14" x14ac:dyDescent="0.25">
      <c r="H29" t="s">
        <v>298</v>
      </c>
    </row>
    <row r="30" spans="1:14" x14ac:dyDescent="0.25">
      <c r="C30" t="s">
        <v>301</v>
      </c>
      <c r="H30" t="s">
        <v>299</v>
      </c>
      <c r="I30">
        <v>1800</v>
      </c>
    </row>
    <row r="32" spans="1:14" x14ac:dyDescent="0.25">
      <c r="B32">
        <f>SUM(B2:B31)</f>
        <v>40168</v>
      </c>
      <c r="D32">
        <f t="shared" ref="D32:K32" si="4">SUM(D2:D31)</f>
        <v>40400</v>
      </c>
      <c r="E32">
        <f t="shared" si="4"/>
        <v>3034</v>
      </c>
      <c r="G32">
        <f>SUM(G2:G31)-5000</f>
        <v>811</v>
      </c>
      <c r="H32">
        <f t="shared" si="4"/>
        <v>0</v>
      </c>
      <c r="K32">
        <f t="shared" si="4"/>
        <v>300</v>
      </c>
      <c r="M32">
        <f t="shared" ref="M32" si="5">SUM(M2:M31)</f>
        <v>3495</v>
      </c>
      <c r="N32">
        <f>SUM(B32:M32)</f>
        <v>88208</v>
      </c>
    </row>
    <row r="33" spans="6:6" x14ac:dyDescent="0.25">
      <c r="F33" t="s">
        <v>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FB64-5DAF-45F3-AB8C-ADBF620C0BD2}">
  <dimension ref="A1:P3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8.7109375" customWidth="1"/>
    <col min="3" max="3" width="14.5703125" customWidth="1"/>
    <col min="5" max="5" width="22.28515625" customWidth="1"/>
    <col min="6" max="6" width="27.140625" customWidth="1"/>
    <col min="8" max="8" width="20.42578125" customWidth="1"/>
    <col min="12" max="12" width="17.140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25">
      <c r="A2" t="s">
        <v>7</v>
      </c>
      <c r="B2">
        <v>25500</v>
      </c>
      <c r="C2" t="s">
        <v>8</v>
      </c>
      <c r="D2">
        <v>36500</v>
      </c>
      <c r="F2" t="s">
        <v>16</v>
      </c>
      <c r="G2">
        <v>210</v>
      </c>
    </row>
    <row r="3" spans="1:16" ht="30" x14ac:dyDescent="0.25">
      <c r="A3" t="s">
        <v>9</v>
      </c>
      <c r="B3">
        <v>3000</v>
      </c>
      <c r="C3" s="2" t="s">
        <v>57</v>
      </c>
      <c r="D3">
        <v>1700</v>
      </c>
      <c r="F3" t="s">
        <v>304</v>
      </c>
      <c r="G3">
        <v>2300</v>
      </c>
      <c r="H3" t="s">
        <v>305</v>
      </c>
      <c r="I3">
        <v>7000</v>
      </c>
      <c r="N3" t="s">
        <v>14</v>
      </c>
      <c r="O3" t="s">
        <v>306</v>
      </c>
    </row>
    <row r="4" spans="1:16" x14ac:dyDescent="0.25">
      <c r="A4" t="s">
        <v>11</v>
      </c>
      <c r="B4">
        <v>5000</v>
      </c>
      <c r="F4" t="s">
        <v>310</v>
      </c>
      <c r="G4">
        <v>75</v>
      </c>
      <c r="H4" t="s">
        <v>307</v>
      </c>
      <c r="I4">
        <v>540</v>
      </c>
    </row>
    <row r="5" spans="1:16" x14ac:dyDescent="0.25">
      <c r="A5" t="s">
        <v>12</v>
      </c>
      <c r="B5">
        <v>2668</v>
      </c>
      <c r="F5" t="s">
        <v>311</v>
      </c>
      <c r="G5">
        <v>37</v>
      </c>
      <c r="H5" t="s">
        <v>318</v>
      </c>
      <c r="I5">
        <v>218</v>
      </c>
      <c r="N5" t="s">
        <v>191</v>
      </c>
    </row>
    <row r="6" spans="1:16" x14ac:dyDescent="0.25">
      <c r="A6" t="s">
        <v>14</v>
      </c>
      <c r="B6">
        <v>3000</v>
      </c>
      <c r="F6" t="s">
        <v>320</v>
      </c>
      <c r="G6">
        <v>770</v>
      </c>
      <c r="H6" t="s">
        <v>308</v>
      </c>
      <c r="I6">
        <v>1020</v>
      </c>
      <c r="L6" t="s">
        <v>19</v>
      </c>
      <c r="M6">
        <v>1274</v>
      </c>
    </row>
    <row r="7" spans="1:16" x14ac:dyDescent="0.25">
      <c r="A7" t="s">
        <v>74</v>
      </c>
      <c r="B7">
        <v>1000</v>
      </c>
      <c r="E7">
        <f t="shared" ref="E7:E10" si="0">94+96</f>
        <v>190</v>
      </c>
      <c r="F7" t="s">
        <v>313</v>
      </c>
      <c r="G7">
        <v>232</v>
      </c>
      <c r="H7" t="s">
        <v>309</v>
      </c>
      <c r="I7">
        <v>230</v>
      </c>
    </row>
    <row r="8" spans="1:16" x14ac:dyDescent="0.25">
      <c r="E8">
        <f t="shared" si="0"/>
        <v>190</v>
      </c>
      <c r="N8" t="s">
        <v>23</v>
      </c>
      <c r="O8" t="s">
        <v>24</v>
      </c>
    </row>
    <row r="9" spans="1:16" x14ac:dyDescent="0.25">
      <c r="E9">
        <f t="shared" si="0"/>
        <v>190</v>
      </c>
      <c r="H9" t="s">
        <v>312</v>
      </c>
      <c r="I9">
        <v>260</v>
      </c>
      <c r="L9" t="s">
        <v>20</v>
      </c>
      <c r="M9">
        <v>200</v>
      </c>
    </row>
    <row r="10" spans="1:16" x14ac:dyDescent="0.25">
      <c r="E10">
        <f t="shared" si="0"/>
        <v>190</v>
      </c>
      <c r="F10" t="s">
        <v>314</v>
      </c>
      <c r="G10">
        <v>740</v>
      </c>
      <c r="H10" t="s">
        <v>317</v>
      </c>
      <c r="I10">
        <v>445</v>
      </c>
    </row>
    <row r="11" spans="1:16" x14ac:dyDescent="0.25">
      <c r="F11" t="s">
        <v>315</v>
      </c>
      <c r="G11">
        <f>110+185</f>
        <v>295</v>
      </c>
    </row>
    <row r="12" spans="1:16" x14ac:dyDescent="0.25">
      <c r="J12" t="s">
        <v>322</v>
      </c>
      <c r="N12" t="s">
        <v>287</v>
      </c>
      <c r="O12" t="s">
        <v>288</v>
      </c>
    </row>
    <row r="13" spans="1:16" x14ac:dyDescent="0.25">
      <c r="A13" t="s">
        <v>303</v>
      </c>
      <c r="F13" t="s">
        <v>26</v>
      </c>
      <c r="G13">
        <v>270</v>
      </c>
      <c r="K13">
        <v>500</v>
      </c>
      <c r="P13" t="s">
        <v>319</v>
      </c>
    </row>
    <row r="14" spans="1:16" x14ac:dyDescent="0.25">
      <c r="A14" t="s">
        <v>15</v>
      </c>
      <c r="F14" t="s">
        <v>25</v>
      </c>
      <c r="G14">
        <v>270</v>
      </c>
      <c r="H14" t="s">
        <v>321</v>
      </c>
      <c r="I14">
        <v>210</v>
      </c>
    </row>
    <row r="15" spans="1:16" x14ac:dyDescent="0.25">
      <c r="A15" t="s">
        <v>219</v>
      </c>
    </row>
    <row r="16" spans="1:16" x14ac:dyDescent="0.25">
      <c r="F16" t="s">
        <v>25</v>
      </c>
      <c r="G16">
        <v>220</v>
      </c>
      <c r="L16" t="s">
        <v>323</v>
      </c>
      <c r="M16">
        <v>2500</v>
      </c>
    </row>
    <row r="17" spans="1:14" x14ac:dyDescent="0.25">
      <c r="F17" t="s">
        <v>324</v>
      </c>
      <c r="G17">
        <v>145</v>
      </c>
    </row>
    <row r="18" spans="1:14" x14ac:dyDescent="0.25">
      <c r="A18" t="s">
        <v>316</v>
      </c>
      <c r="F18" t="s">
        <v>325</v>
      </c>
      <c r="G18">
        <v>50</v>
      </c>
    </row>
    <row r="19" spans="1:14" x14ac:dyDescent="0.25">
      <c r="A19" t="s">
        <v>264</v>
      </c>
      <c r="F19" t="s">
        <v>326</v>
      </c>
      <c r="G19">
        <v>74</v>
      </c>
    </row>
    <row r="20" spans="1:14" x14ac:dyDescent="0.25">
      <c r="F20" t="s">
        <v>327</v>
      </c>
      <c r="G20">
        <v>130</v>
      </c>
    </row>
    <row r="21" spans="1:14" x14ac:dyDescent="0.25">
      <c r="E21">
        <f t="shared" ref="E21:E24" si="1">94+96</f>
        <v>190</v>
      </c>
      <c r="F21" t="s">
        <v>224</v>
      </c>
      <c r="G21">
        <v>40</v>
      </c>
      <c r="L21" t="s">
        <v>328</v>
      </c>
      <c r="M21">
        <v>1080</v>
      </c>
    </row>
    <row r="22" spans="1:14" x14ac:dyDescent="0.25">
      <c r="E22">
        <f t="shared" si="1"/>
        <v>190</v>
      </c>
    </row>
    <row r="23" spans="1:14" x14ac:dyDescent="0.25">
      <c r="E23">
        <f t="shared" si="1"/>
        <v>190</v>
      </c>
    </row>
    <row r="24" spans="1:14" x14ac:dyDescent="0.25">
      <c r="E24">
        <f t="shared" si="1"/>
        <v>190</v>
      </c>
    </row>
    <row r="28" spans="1:14" x14ac:dyDescent="0.25">
      <c r="E28">
        <f t="shared" ref="E28:E29" si="2">94+96</f>
        <v>190</v>
      </c>
    </row>
    <row r="29" spans="1:14" x14ac:dyDescent="0.25">
      <c r="E29">
        <f t="shared" si="2"/>
        <v>190</v>
      </c>
    </row>
    <row r="31" spans="1:14" x14ac:dyDescent="0.25">
      <c r="B31">
        <f>SUM(B2:B30)</f>
        <v>40168</v>
      </c>
      <c r="D31">
        <f>SUM(D2:D30)</f>
        <v>38200</v>
      </c>
      <c r="E31">
        <f t="shared" ref="E31:M31" si="3">SUM(E2:E30)</f>
        <v>1900</v>
      </c>
      <c r="G31">
        <f>SUM(G2:G30)-5000</f>
        <v>858</v>
      </c>
      <c r="I31">
        <f t="shared" si="3"/>
        <v>9923</v>
      </c>
      <c r="K31">
        <f t="shared" si="3"/>
        <v>500</v>
      </c>
      <c r="M31">
        <f t="shared" si="3"/>
        <v>5054</v>
      </c>
      <c r="N31">
        <f>SUM(B31:M31)</f>
        <v>96603</v>
      </c>
    </row>
    <row r="32" spans="1:14" x14ac:dyDescent="0.25">
      <c r="F3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2025-01-03T07:08:23Z</dcterms:created>
  <dcterms:modified xsi:type="dcterms:W3CDTF">2025-09-22T15:31:05Z</dcterms:modified>
</cp:coreProperties>
</file>